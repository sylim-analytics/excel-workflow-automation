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ida\Downloads\"/>
    </mc:Choice>
  </mc:AlternateContent>
  <xr:revisionPtr revIDLastSave="0" documentId="13_ncr:1_{9B0A7465-981D-4B99-8614-F93BEB86D34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ver - Read Me" sheetId="1" r:id="rId1"/>
    <sheet name="Admin Dashboard" sheetId="2" r:id="rId2"/>
    <sheet name="Admin Input" sheetId="3" r:id="rId3"/>
    <sheet name="Finance Monthly Output" sheetId="4" r:id="rId4"/>
    <sheet name="Master Contacts" sheetId="5" r:id="rId5"/>
    <sheet name="Lists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B16" i="2" l="1"/>
  <c r="I25" i="4"/>
  <c r="H25" i="4"/>
  <c r="J25" i="4" s="1"/>
  <c r="F25" i="4"/>
  <c r="E25" i="4"/>
  <c r="D25" i="4"/>
  <c r="C25" i="4"/>
  <c r="A25" i="4"/>
  <c r="B25" i="4" s="1"/>
  <c r="I24" i="4"/>
  <c r="H24" i="4"/>
  <c r="J24" i="4" s="1"/>
  <c r="F24" i="4"/>
  <c r="E24" i="4"/>
  <c r="D24" i="4"/>
  <c r="C24" i="4"/>
  <c r="A24" i="4"/>
  <c r="B24" i="4" s="1"/>
  <c r="I23" i="4"/>
  <c r="H23" i="4"/>
  <c r="J23" i="4" s="1"/>
  <c r="F23" i="4"/>
  <c r="E23" i="4"/>
  <c r="D23" i="4"/>
  <c r="C23" i="4"/>
  <c r="A23" i="4"/>
  <c r="B23" i="4" s="1"/>
  <c r="I22" i="4"/>
  <c r="H22" i="4"/>
  <c r="J22" i="4" s="1"/>
  <c r="F22" i="4"/>
  <c r="E22" i="4"/>
  <c r="D22" i="4"/>
  <c r="C22" i="4"/>
  <c r="A22" i="4"/>
  <c r="B22" i="4" s="1"/>
  <c r="I21" i="4"/>
  <c r="H21" i="4"/>
  <c r="J21" i="4" s="1"/>
  <c r="F21" i="4"/>
  <c r="E21" i="4"/>
  <c r="D21" i="4"/>
  <c r="C21" i="4"/>
  <c r="A21" i="4"/>
  <c r="B21" i="4" s="1"/>
  <c r="I20" i="4"/>
  <c r="H20" i="4"/>
  <c r="J20" i="4" s="1"/>
  <c r="F20" i="4"/>
  <c r="E20" i="4"/>
  <c r="D20" i="4"/>
  <c r="C20" i="4"/>
  <c r="A20" i="4"/>
  <c r="B20" i="4" s="1"/>
  <c r="I19" i="4"/>
  <c r="H19" i="4"/>
  <c r="J19" i="4" s="1"/>
  <c r="F19" i="4"/>
  <c r="E19" i="4"/>
  <c r="D19" i="4"/>
  <c r="C19" i="4"/>
  <c r="A19" i="4"/>
  <c r="B19" i="4" s="1"/>
  <c r="I18" i="4"/>
  <c r="H18" i="4"/>
  <c r="J18" i="4" s="1"/>
  <c r="F18" i="4"/>
  <c r="E18" i="4"/>
  <c r="D18" i="4"/>
  <c r="C18" i="4"/>
  <c r="A18" i="4"/>
  <c r="B18" i="4" s="1"/>
  <c r="I17" i="4"/>
  <c r="H17" i="4"/>
  <c r="J17" i="4" s="1"/>
  <c r="F17" i="4"/>
  <c r="E17" i="4"/>
  <c r="D17" i="4"/>
  <c r="C17" i="4"/>
  <c r="A17" i="4"/>
  <c r="B17" i="4" s="1"/>
  <c r="I16" i="4"/>
  <c r="H16" i="4"/>
  <c r="J16" i="4" s="1"/>
  <c r="F16" i="4"/>
  <c r="E16" i="4"/>
  <c r="D16" i="4"/>
  <c r="C16" i="4"/>
  <c r="A16" i="4"/>
  <c r="B16" i="4" s="1"/>
  <c r="I15" i="4"/>
  <c r="H15" i="4"/>
  <c r="J15" i="4" s="1"/>
  <c r="F15" i="4"/>
  <c r="E15" i="4"/>
  <c r="D15" i="4"/>
  <c r="C15" i="4"/>
  <c r="A15" i="4"/>
  <c r="B15" i="4" s="1"/>
  <c r="I14" i="4"/>
  <c r="H14" i="4"/>
  <c r="J14" i="4" s="1"/>
  <c r="F14" i="4"/>
  <c r="E14" i="4"/>
  <c r="D14" i="4"/>
  <c r="C14" i="4"/>
  <c r="A14" i="4"/>
  <c r="B14" i="4" s="1"/>
  <c r="I13" i="4"/>
  <c r="H13" i="4"/>
  <c r="J13" i="4" s="1"/>
  <c r="F13" i="4"/>
  <c r="E13" i="4"/>
  <c r="D13" i="4"/>
  <c r="C13" i="4"/>
  <c r="A13" i="4"/>
  <c r="B13" i="4" s="1"/>
  <c r="I12" i="4"/>
  <c r="H12" i="4"/>
  <c r="J12" i="4" s="1"/>
  <c r="F12" i="4"/>
  <c r="E12" i="4"/>
  <c r="D12" i="4"/>
  <c r="C12" i="4"/>
  <c r="A12" i="4"/>
  <c r="B12" i="4" s="1"/>
  <c r="I11" i="4"/>
  <c r="H11" i="4"/>
  <c r="J11" i="4" s="1"/>
  <c r="F11" i="4"/>
  <c r="E11" i="4"/>
  <c r="D11" i="4"/>
  <c r="C11" i="4"/>
  <c r="A11" i="4"/>
  <c r="B11" i="4" s="1"/>
  <c r="I10" i="4"/>
  <c r="H10" i="4"/>
  <c r="J10" i="4" s="1"/>
  <c r="F10" i="4"/>
  <c r="E10" i="4"/>
  <c r="D10" i="4"/>
  <c r="C10" i="4"/>
  <c r="A10" i="4"/>
  <c r="B10" i="4" s="1"/>
  <c r="I9" i="4"/>
  <c r="H9" i="4"/>
  <c r="J9" i="4" s="1"/>
  <c r="F9" i="4"/>
  <c r="E9" i="4"/>
  <c r="D9" i="4"/>
  <c r="C9" i="4"/>
  <c r="A9" i="4"/>
  <c r="B9" i="4" s="1"/>
  <c r="I8" i="4"/>
  <c r="H8" i="4"/>
  <c r="J8" i="4" s="1"/>
  <c r="F8" i="4"/>
  <c r="E8" i="4"/>
  <c r="D8" i="4"/>
  <c r="C8" i="4"/>
  <c r="A8" i="4"/>
  <c r="B8" i="4" s="1"/>
  <c r="I7" i="4"/>
  <c r="H7" i="4"/>
  <c r="J7" i="4" s="1"/>
  <c r="F7" i="4"/>
  <c r="E7" i="4"/>
  <c r="D7" i="4"/>
  <c r="C7" i="4"/>
  <c r="A7" i="4"/>
  <c r="B7" i="4" s="1"/>
  <c r="I6" i="4"/>
  <c r="H6" i="4"/>
  <c r="J6" i="4" s="1"/>
  <c r="F6" i="4"/>
  <c r="E6" i="4"/>
  <c r="D6" i="4"/>
  <c r="C6" i="4"/>
  <c r="A6" i="4"/>
  <c r="B6" i="4" s="1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A26" i="2"/>
  <c r="A25" i="2"/>
  <c r="A24" i="2"/>
  <c r="A23" i="2"/>
  <c r="A22" i="2"/>
  <c r="A21" i="2"/>
  <c r="A20" i="2"/>
  <c r="A19" i="2"/>
  <c r="A18" i="2"/>
  <c r="A17" i="2"/>
  <c r="A16" i="2"/>
  <c r="A15" i="2"/>
  <c r="A6" i="2"/>
  <c r="D26" i="2" l="1"/>
  <c r="C26" i="2"/>
  <c r="E26" i="2" s="1"/>
  <c r="B26" i="2"/>
  <c r="F26" i="2" s="1"/>
  <c r="G26" i="2" s="1"/>
  <c r="D25" i="2"/>
  <c r="C25" i="2"/>
  <c r="E25" i="2" s="1"/>
  <c r="B25" i="2"/>
  <c r="F25" i="2" s="1"/>
  <c r="G25" i="2" s="1"/>
  <c r="D24" i="2"/>
  <c r="C24" i="2"/>
  <c r="E24" i="2" s="1"/>
  <c r="B24" i="2"/>
  <c r="F24" i="2" s="1"/>
  <c r="G24" i="2" s="1"/>
  <c r="D23" i="2"/>
  <c r="C23" i="2"/>
  <c r="E23" i="2" s="1"/>
  <c r="B23" i="2"/>
  <c r="F23" i="2" s="1"/>
  <c r="G23" i="2" s="1"/>
  <c r="D22" i="2"/>
  <c r="C22" i="2"/>
  <c r="E22" i="2" s="1"/>
  <c r="B22" i="2"/>
  <c r="F22" i="2" s="1"/>
  <c r="G22" i="2" s="1"/>
  <c r="D21" i="2"/>
  <c r="C21" i="2"/>
  <c r="E21" i="2" s="1"/>
  <c r="B21" i="2"/>
  <c r="F21" i="2" s="1"/>
  <c r="G21" i="2" s="1"/>
  <c r="D20" i="2"/>
  <c r="C20" i="2"/>
  <c r="E20" i="2" s="1"/>
  <c r="B20" i="2"/>
  <c r="F20" i="2" s="1"/>
  <c r="G20" i="2" s="1"/>
  <c r="D19" i="2"/>
  <c r="C19" i="2"/>
  <c r="E19" i="2" s="1"/>
  <c r="B19" i="2"/>
  <c r="F19" i="2" s="1"/>
  <c r="G19" i="2" s="1"/>
  <c r="D18" i="2"/>
  <c r="C18" i="2"/>
  <c r="E18" i="2" s="1"/>
  <c r="B18" i="2"/>
  <c r="F18" i="2" s="1"/>
  <c r="G18" i="2" s="1"/>
  <c r="D17" i="2"/>
  <c r="C17" i="2"/>
  <c r="E17" i="2" s="1"/>
  <c r="B17" i="2"/>
  <c r="F17" i="2" s="1"/>
  <c r="G17" i="2" s="1"/>
  <c r="D16" i="2"/>
  <c r="C16" i="2"/>
  <c r="E16" i="2" s="1"/>
  <c r="F16" i="2"/>
  <c r="G16" i="2" s="1"/>
  <c r="D15" i="2"/>
  <c r="C15" i="2"/>
  <c r="E15" i="2" s="1"/>
  <c r="B15" i="2"/>
  <c r="F15" i="2" s="1"/>
  <c r="H15" i="2" l="1"/>
  <c r="C6" i="2"/>
  <c r="K15" i="2" s="1"/>
  <c r="E6" i="2"/>
  <c r="K16" i="2" s="1"/>
  <c r="G15" i="2"/>
  <c r="A10" i="2" s="1"/>
  <c r="G6" i="2"/>
  <c r="H26" i="2"/>
  <c r="H25" i="2"/>
  <c r="H24" i="2"/>
  <c r="H23" i="2"/>
  <c r="H22" i="2"/>
  <c r="H21" i="2"/>
  <c r="H20" i="2"/>
  <c r="H19" i="2"/>
  <c r="H18" i="2"/>
  <c r="H17" i="2"/>
  <c r="H16" i="2"/>
  <c r="E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Portfolio Demonstration</author>
  </authors>
  <commentList>
    <comment ref="E10" authorId="0" shapeId="0" xr:uid="{00000000-0006-0000-0100-000001000000}">
      <text>
        <r>
          <rPr>
            <sz val="10"/>
            <rFont val="Arial"/>
            <family val="2"/>
          </rPr>
          <t>Automatically joins only email addresses for recipients whose records are still pending.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Portfolio Demonstration</author>
  </authors>
  <commentList>
    <comment ref="E5" authorId="0" shapeId="0" xr:uid="{00000000-0006-0000-0200-000001000000}">
      <text>
        <r>
          <rPr>
            <sz val="10"/>
            <rFont val="Arial"/>
            <family val="2"/>
          </rPr>
          <t>Administrative input. Choose a fictional department or leave blank and use a fictional cost allocation code.</t>
        </r>
      </text>
    </comment>
    <comment ref="F5" authorId="0" shapeId="0" xr:uid="{00000000-0006-0000-0200-000002000000}">
      <text>
        <r>
          <rPr>
            <sz val="10"/>
            <rFont val="Arial"/>
            <family val="2"/>
          </rPr>
          <t>Administrative input. Enter a fictional cost allocation code only when the home department is not used.</t>
        </r>
      </text>
    </comment>
    <comment ref="G6" authorId="0" shapeId="0" xr:uid="{00000000-0006-0000-0200-000003000000}">
      <text>
        <r>
          <rPr>
            <sz val="10"/>
            <rFont val="Arial"/>
            <family val="2"/>
          </rPr>
          <t>Formula-driven. Complete when either a Home Department or Cost Allocation Code is entered.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Portfolio Demonstration</author>
  </authors>
  <commentList>
    <comment ref="H6" authorId="0" shapeId="0" xr:uid="{00000000-0006-0000-0300-000001000000}">
      <text>
        <r>
          <rPr>
            <sz val="10"/>
            <rFont val="Arial"/>
            <family val="2"/>
          </rPr>
          <t>Formula-linked from the administrative input layer. Do not enter data directly in this output field.</t>
        </r>
      </text>
    </comment>
  </commentList>
</comments>
</file>

<file path=xl/sharedStrings.xml><?xml version="1.0" encoding="utf-8"?>
<sst xmlns="http://schemas.openxmlformats.org/spreadsheetml/2006/main" count="210" uniqueCount="116">
  <si>
    <t>Monthly Transportation Charge Collection Automation</t>
  </si>
  <si>
    <t>PUBLIC PORTFOLIO DEMONSTRATION — ALL DATA IS FICTIONAL</t>
  </si>
  <si>
    <t>Workbook Map</t>
  </si>
  <si>
    <t>How to Test</t>
  </si>
  <si>
    <t>Automation Features</t>
  </si>
  <si>
    <t>Color Guide</t>
  </si>
  <si>
    <t>Admin Dashboard — Monthly Transportation Charge Campaign</t>
  </si>
  <si>
    <t>Live dashboard for the added administrative layer; all records are fictional sample data.</t>
  </si>
  <si>
    <t>Total Recipients</t>
  </si>
  <si>
    <t>Complete Recipients</t>
  </si>
  <si>
    <t>Pending Recipients</t>
  </si>
  <si>
    <t>Missing Emails</t>
  </si>
  <si>
    <t>Initial Recipient List</t>
  </si>
  <si>
    <t>Follow-Up List — Pending Only</t>
  </si>
  <si>
    <t>Recipient Name</t>
  </si>
  <si>
    <t>Email Address</t>
  </si>
  <si>
    <t>Source Rows</t>
  </si>
  <si>
    <t>Completed Rows</t>
  </si>
  <si>
    <t>Recipient Status</t>
  </si>
  <si>
    <t>Email Check</t>
  </si>
  <si>
    <t>Initial Email</t>
  </si>
  <si>
    <t>Pending Email</t>
  </si>
  <si>
    <t>Status</t>
  </si>
  <si>
    <t>Recipients</t>
  </si>
  <si>
    <t>Complete</t>
  </si>
  <si>
    <t>Pending</t>
  </si>
  <si>
    <t>Admin Workflow</t>
  </si>
  <si>
    <t>1. Review completed and pending counts.</t>
  </si>
  <si>
    <t>2. Resolve any missing fictional contact emails.</t>
  </si>
  <si>
    <t>3. Copy the initial list for the first request.</t>
  </si>
  <si>
    <t>4. Copy the follow-up list for reminders.</t>
  </si>
  <si>
    <t>5. Enter responses in Admin Input.</t>
  </si>
  <si>
    <t>6. Verify Finance Monthly Output, then sort by Original Order if needed.</t>
  </si>
  <si>
    <t>Workflow Preservation</t>
  </si>
  <si>
    <t>Admin Input is the added automation layer. Finance Monthly Output keeps a stable structure and receives linked updates automatically, allowing the finance owner to continue the familiar monthly process.</t>
  </si>
  <si>
    <t>Admin Input — Fictional Monthly Transportation Campaign</t>
  </si>
  <si>
    <t>Blue-font cells are the administrative input layer. Enter either a Home Department or Cost Allocation Code; the protected-format Finance Monthly Output updates automatically.</t>
  </si>
  <si>
    <t>Original Order</t>
  </si>
  <si>
    <t>Recipient ID</t>
  </si>
  <si>
    <t>Service Date</t>
  </si>
  <si>
    <t>Home Department</t>
  </si>
  <si>
    <t>Cost Allocation Code</t>
  </si>
  <si>
    <t>Response Status</t>
  </si>
  <si>
    <t>Validation</t>
  </si>
  <si>
    <t>Notes</t>
  </si>
  <si>
    <t>P-001</t>
  </si>
  <si>
    <t>Avery Stone</t>
  </si>
  <si>
    <t>Operations</t>
  </si>
  <si>
    <t>P-002</t>
  </si>
  <si>
    <t>Jordan Vale</t>
  </si>
  <si>
    <t>P-003</t>
  </si>
  <si>
    <t>Casey Rowan</t>
  </si>
  <si>
    <t>ALLOC-FIN-204</t>
  </si>
  <si>
    <t>P-004</t>
  </si>
  <si>
    <t>Taylor Quinn</t>
  </si>
  <si>
    <t>ALLOC-ENG-315</t>
  </si>
  <si>
    <t>P-005</t>
  </si>
  <si>
    <t>Riley Chen</t>
  </si>
  <si>
    <t>Product</t>
  </si>
  <si>
    <t>P-006</t>
  </si>
  <si>
    <t>Marlowe Ellis</t>
  </si>
  <si>
    <t>P-007</t>
  </si>
  <si>
    <t>Parker Lane</t>
  </si>
  <si>
    <t>ALLOC-RND-442</t>
  </si>
  <si>
    <t>P-008</t>
  </si>
  <si>
    <t>Jamie Brooks</t>
  </si>
  <si>
    <t>Engineering</t>
  </si>
  <si>
    <t>P-009</t>
  </si>
  <si>
    <t>Cameron Reed</t>
  </si>
  <si>
    <t>P-010</t>
  </si>
  <si>
    <t>Drew Bennett</t>
  </si>
  <si>
    <t>ALLOC-FIN-218</t>
  </si>
  <si>
    <t>P-011</t>
  </si>
  <si>
    <t>Skyler Hayes</t>
  </si>
  <si>
    <t>P-012</t>
  </si>
  <si>
    <t>Reese Nolan</t>
  </si>
  <si>
    <t>Finance Monthly Output — Stable Original-Style Structure</t>
  </si>
  <si>
    <t>Green-font fields are linked from Admin Input. This sheet demonstrates how the familiar monthly finance layout stays intact while administrative updates flow into it automatically.</t>
  </si>
  <si>
    <t>Transaction ID</t>
  </si>
  <si>
    <t>Service Description</t>
  </si>
  <si>
    <t>Sample Amount</t>
  </si>
  <si>
    <t>Allocation Status</t>
  </si>
  <si>
    <t>Master Contacts — Fictional Sample Directory</t>
  </si>
  <si>
    <t>All entries are fictional. Add or update contacts here; the Admin Dashboard retrieves email addresses from this table.</t>
  </si>
  <si>
    <t>Department</t>
  </si>
  <si>
    <t>Location</t>
  </si>
  <si>
    <t>avery.stone@example.com</t>
  </si>
  <si>
    <t>North Campus</t>
  </si>
  <si>
    <t>Active</t>
  </si>
  <si>
    <t>Research</t>
  </si>
  <si>
    <t>Innovation Center</t>
  </si>
  <si>
    <t>Intentionally blank to demonstrate missing-contact alert</t>
  </si>
  <si>
    <t>casey.rowan@example.com</t>
  </si>
  <si>
    <t>Finance</t>
  </si>
  <si>
    <t>Central Office</t>
  </si>
  <si>
    <t>taylor.quinn@example.com</t>
  </si>
  <si>
    <t>West Campus</t>
  </si>
  <si>
    <t>riley.chen@example.com</t>
  </si>
  <si>
    <t>marlowe.ellis@example.com</t>
  </si>
  <si>
    <t>parker.lane@example.com</t>
  </si>
  <si>
    <t>jamie.brooks@example.com</t>
  </si>
  <si>
    <t>cameron.reed@example.com</t>
  </si>
  <si>
    <t>People Services</t>
  </si>
  <si>
    <t>drew.bennett@example.com</t>
  </si>
  <si>
    <t>skyler.hayes@example.com</t>
  </si>
  <si>
    <t>reese.nolan@example.com</t>
  </si>
  <si>
    <t>Departments</t>
  </si>
  <si>
    <t>Contact Status</t>
  </si>
  <si>
    <t>Inactive</t>
  </si>
  <si>
    <t>Portfolio demo using fictional data only.</t>
  </si>
  <si>
    <t>Admin Dashboard - campaign status and follow-up lists
Admin Input - enter responses
Finance Monthly Output - linked finance-ready records
Master Contacts - fictional contact directory</t>
  </si>
  <si>
    <t>1. Enter a department or allocation code in a blue-font Admin Input cell.
2. Confirm the linked Finance Monthly Output row updates.
3. Check the refreshed dashboard metrics.</t>
  </si>
  <si>
    <t>• One recipient may have multiple records.
• Status is Complete only when all records are complete.
• Contact and follow-up lists update automatically.
• Alerts flag missing information.</t>
  </si>
  <si>
    <t>Blue = input  |  Green = linked data  |  Black = formula  |  Gray = sample data  |  Orange/red = review</t>
  </si>
  <si>
    <t>Workflow &amp; Efficiency Impact</t>
  </si>
  <si>
    <t>Admin Input collects responses and Finance Monthly Output updates automatically. Once established, a new monthly file takes about 5 minutes to set up, typically requires one reminder, and can often be reviewed and returned to Finance in under 5 minutes, depending on data quality and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</si>
</sst>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&quot;, &quot;yyyy"/>
    <numFmt numFmtId="165" formatCode="\$#,##0;[Red]&quot;($&quot;#,##0\);\-"/>
  </numFmts>
  <fonts count="18" x14ac:knownFonts="1">
    <font>
      <sz val="11"/>
      <color theme="1"/>
      <name val="Calibri"/>
      <family val="2"/>
      <charset val="1"/>
    </font>
    <font>
      <b/>
      <sz val="24"/>
      <color rgb="FFFFFFFF"/>
      <name val="Cambria"/>
      <charset val="1"/>
    </font>
    <font>
      <sz val="11"/>
      <color rgb="FF000000"/>
      <name val="Aptos"/>
      <charset val="1"/>
    </font>
    <font>
      <b/>
      <sz val="15"/>
      <color rgb="FF9C5700"/>
      <name val="Cambria"/>
      <charset val="1"/>
    </font>
    <font>
      <sz val="12"/>
      <color rgb="FF000000"/>
      <name val="Cambria"/>
      <charset val="1"/>
    </font>
    <font>
      <b/>
      <sz val="12"/>
      <color rgb="FFFFFFFF"/>
      <name val="Cambria"/>
      <charset val="1"/>
    </font>
    <font>
      <sz val="11"/>
      <color rgb="FF000000"/>
      <name val="Cambria"/>
      <charset val="1"/>
    </font>
    <font>
      <b/>
      <sz val="20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b/>
      <sz val="24"/>
      <color rgb="FF1E7A78"/>
      <name val="Cambria"/>
      <charset val="1"/>
    </font>
    <font>
      <b/>
      <sz val="24"/>
      <color rgb="FF70AD47"/>
      <name val="Cambria"/>
      <charset val="1"/>
    </font>
    <font>
      <b/>
      <sz val="24"/>
      <color rgb="FFF4B183"/>
      <name val="Cambria"/>
      <charset val="1"/>
    </font>
    <font>
      <b/>
      <sz val="24"/>
      <color rgb="FFC00000"/>
      <name val="Cambria"/>
      <charset val="1"/>
    </font>
    <font>
      <sz val="11"/>
      <color rgb="FF008000"/>
      <name val="Cambria"/>
      <charset val="1"/>
    </font>
    <font>
      <sz val="10"/>
      <name val="Arial"/>
      <family val="2"/>
    </font>
    <font>
      <sz val="11"/>
      <color rgb="FF666666"/>
      <name val="Cambria"/>
      <charset val="1"/>
    </font>
    <font>
      <sz val="11"/>
      <color rgb="FF0000FF"/>
      <name val="Cambria"/>
      <charset val="1"/>
    </font>
  </fonts>
  <fills count="12">
    <fill>
      <patternFill patternType="none"/>
    </fill>
    <fill>
      <patternFill patternType="gray125"/>
    </fill>
    <fill>
      <patternFill patternType="solid">
        <fgColor rgb="FF183B56"/>
        <bgColor rgb="FF204D6B"/>
      </patternFill>
    </fill>
    <fill>
      <patternFill patternType="solid">
        <fgColor rgb="FFFFF2CC"/>
        <bgColor rgb="FFFCE4D6"/>
      </patternFill>
    </fill>
    <fill>
      <patternFill patternType="solid">
        <fgColor rgb="FF1E7A78"/>
        <bgColor rgb="FF008080"/>
      </patternFill>
    </fill>
    <fill>
      <patternFill patternType="solid">
        <fgColor rgb="FFEEF5F7"/>
        <bgColor rgb="FFF7FAFC"/>
      </patternFill>
    </fill>
    <fill>
      <patternFill patternType="solid">
        <fgColor rgb="FF204D6B"/>
        <bgColor rgb="FF183B56"/>
      </patternFill>
    </fill>
    <fill>
      <patternFill patternType="solid">
        <fgColor rgb="FF70AD47"/>
        <bgColor rgb="FF339966"/>
      </patternFill>
    </fill>
    <fill>
      <patternFill patternType="solid">
        <fgColor rgb="FFF4B183"/>
        <bgColor rgb="FFF4CCCC"/>
      </patternFill>
    </fill>
    <fill>
      <patternFill patternType="solid">
        <fgColor rgb="FFC00000"/>
        <bgColor rgb="FF800000"/>
      </patternFill>
    </fill>
    <fill>
      <patternFill patternType="solid">
        <fgColor rgb="FFF7FAFC"/>
        <bgColor rgb="FFFFFFFF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 wrapText="1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164" fontId="16" fillId="0" borderId="0" xfId="0" applyNumberFormat="1" applyFont="1" applyAlignment="1">
      <alignment vertical="top" wrapText="1"/>
    </xf>
    <xf numFmtId="0" fontId="1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6" borderId="0" xfId="0" applyFont="1" applyFill="1" applyAlignment="1">
      <alignment horizontal="center" vertical="center" wrapText="1"/>
    </xf>
    <xf numFmtId="164" fontId="14" fillId="0" borderId="0" xfId="0" applyNumberFormat="1" applyFont="1" applyAlignment="1">
      <alignment vertical="top" wrapText="1"/>
    </xf>
    <xf numFmtId="165" fontId="16" fillId="0" borderId="0" xfId="0" applyNumberFormat="1" applyFont="1" applyAlignment="1">
      <alignment vertical="top" wrapText="1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11" borderId="0" xfId="0" applyFont="1" applyFill="1" applyAlignment="1">
      <alignment vertical="top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/>
    <xf numFmtId="0" fontId="9" fillId="4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0" fillId="5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9" fillId="6" borderId="0" xfId="0" applyFont="1" applyFill="1"/>
    <xf numFmtId="0" fontId="0" fillId="5" borderId="0" xfId="0" applyFill="1" applyAlignment="1">
      <alignment wrapText="1"/>
    </xf>
    <xf numFmtId="0" fontId="9" fillId="4" borderId="0" xfId="0" applyFont="1" applyFill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8"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78"/>
      <rgbColor rgb="FFC0C0C0"/>
      <rgbColor rgb="FF4F81BD"/>
      <rgbColor rgb="FF9999FF"/>
      <rgbColor rgb="FFC0504D"/>
      <rgbColor rgb="FFFFF2CC"/>
      <rgbColor rgb="FFEEF5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D9EAD3"/>
      <rgbColor rgb="FFFCE4D6"/>
      <rgbColor rgb="FF99CCFF"/>
      <rgbColor rgb="FFF4B18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70AD47"/>
      <rgbColor rgb="FF183B56"/>
      <rgbColor rgb="FF339966"/>
      <rgbColor rgb="FF003300"/>
      <rgbColor rgb="FF333300"/>
      <rgbColor rgb="FF9C5700"/>
      <rgbColor rgb="FF993366"/>
      <rgbColor rgb="FF204D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Recipient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'Admin Dashboard'!$K$14</c:f>
              <c:strCache>
                <c:ptCount val="1"/>
                <c:pt idx="0">
                  <c:v>Recipients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EC9-4E0A-B754-188B37D2F08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EC9-4E0A-B754-188B37D2F08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C9-4E0A-B754-188B37D2F08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C9-4E0A-B754-188B37D2F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'Admin Dashboard'!$J$15:$J$16</c:f>
              <c:strCache>
                <c:ptCount val="2"/>
                <c:pt idx="0">
                  <c:v>Complete</c:v>
                </c:pt>
                <c:pt idx="1">
                  <c:v>Pending</c:v>
                </c:pt>
              </c:strCache>
            </c:strRef>
          </c:cat>
          <c:val>
            <c:numRef>
              <c:f>'Admin Dashboard'!$K$15:$K$16</c:f>
              <c:numCache>
                <c:formatCode>General</c:formatCode>
                <c:ptCount val="2"/>
                <c:pt idx="0">
                  <c:v>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9-4E0A-B754-188B37D2F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12</xdr:col>
      <xdr:colOff>74160</xdr:colOff>
      <xdr:row>14</xdr:row>
      <xdr:rowOff>81720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Responses" displayName="tblResponses" ref="A5:I25" totalsRowShown="0">
  <autoFilter ref="A5:I25" xr:uid="{00000000-0009-0000-0100-000003000000}"/>
  <tableColumns count="9">
    <tableColumn id="1" xr3:uid="{00000000-0010-0000-0000-000001000000}" name="Original Order"/>
    <tableColumn id="2" xr3:uid="{00000000-0010-0000-0000-000002000000}" name="Recipient ID"/>
    <tableColumn id="3" xr3:uid="{00000000-0010-0000-0000-000003000000}" name="Recipient Name"/>
    <tableColumn id="4" xr3:uid="{00000000-0010-0000-0000-000004000000}" name="Service Date"/>
    <tableColumn id="5" xr3:uid="{00000000-0010-0000-0000-000005000000}" name="Home Department"/>
    <tableColumn id="6" xr3:uid="{00000000-0010-0000-0000-000006000000}" name="Cost Allocation Code"/>
    <tableColumn id="7" xr3:uid="{00000000-0010-0000-0000-000007000000}" name="Response Status"/>
    <tableColumn id="8" xr3:uid="{00000000-0010-0000-0000-000008000000}" name="Validation"/>
    <tableColumn id="9" xr3:uid="{00000000-0010-0000-0000-000009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nanceOutput" displayName="tblFinanceOutput" ref="A5:J25" totalsRowShown="0">
  <autoFilter ref="A5:J25" xr:uid="{00000000-0009-0000-0100-000002000000}"/>
  <tableColumns count="10">
    <tableColumn id="1" xr3:uid="{00000000-0010-0000-0100-000001000000}" name="Original Order"/>
    <tableColumn id="2" xr3:uid="{00000000-0010-0000-0100-000002000000}" name="Transaction ID"/>
    <tableColumn id="3" xr3:uid="{00000000-0010-0000-0100-000003000000}" name="Service Date"/>
    <tableColumn id="4" xr3:uid="{00000000-0010-0000-0100-000004000000}" name="Recipient ID"/>
    <tableColumn id="5" xr3:uid="{00000000-0010-0000-0100-000005000000}" name="Recipient Name"/>
    <tableColumn id="6" xr3:uid="{00000000-0010-0000-0100-000006000000}" name="Service Description"/>
    <tableColumn id="7" xr3:uid="{00000000-0010-0000-0100-000007000000}" name="Sample Amount"/>
    <tableColumn id="8" xr3:uid="{00000000-0010-0000-0100-000008000000}" name="Home Department"/>
    <tableColumn id="9" xr3:uid="{00000000-0010-0000-0100-000009000000}" name="Cost Allocation Code"/>
    <tableColumn id="10" xr3:uid="{00000000-0010-0000-0100-00000A000000}" name="Allocation 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Contacts" displayName="tblContacts" ref="A5:G17" totalsRowShown="0">
  <autoFilter ref="A5:G17" xr:uid="{00000000-0009-0000-0100-000001000000}"/>
  <tableColumns count="7">
    <tableColumn id="1" xr3:uid="{00000000-0010-0000-0200-000001000000}" name="Recipient ID"/>
    <tableColumn id="2" xr3:uid="{00000000-0010-0000-0200-000002000000}" name="Recipient Name"/>
    <tableColumn id="3" xr3:uid="{00000000-0010-0000-0200-000003000000}" name="Email Address"/>
    <tableColumn id="4" xr3:uid="{00000000-0010-0000-0200-000004000000}" name="Department"/>
    <tableColumn id="5" xr3:uid="{00000000-0010-0000-0200-000005000000}" name="Location"/>
    <tableColumn id="6" xr3:uid="{00000000-0010-0000-0200-000006000000}" name="Status"/>
    <tableColumn id="7" xr3:uid="{00000000-0010-0000-0200-000007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showGridLines="0" zoomScaleNormal="100" workbookViewId="0">
      <pane ySplit="6" topLeftCell="A26" activePane="bottomLeft" state="frozen"/>
      <selection pane="bottomLeft" activeCell="A12" sqref="A12:H13"/>
    </sheetView>
  </sheetViews>
  <sheetFormatPr defaultColWidth="8.77734375" defaultRowHeight="15" customHeight="1" x14ac:dyDescent="0.3"/>
  <cols>
    <col min="1" max="8" width="18" customWidth="1"/>
  </cols>
  <sheetData>
    <row r="1" spans="1:8" ht="30" customHeigh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" customHeight="1" x14ac:dyDescent="0.3">
      <c r="A2" s="16"/>
      <c r="B2" s="16"/>
      <c r="C2" s="16"/>
      <c r="D2" s="16"/>
      <c r="E2" s="16"/>
      <c r="F2" s="16"/>
      <c r="G2" s="16"/>
      <c r="H2" s="16"/>
    </row>
    <row r="3" spans="1:8" ht="15" customHeight="1" x14ac:dyDescent="0.3">
      <c r="A3" s="1"/>
      <c r="B3" s="1"/>
      <c r="C3" s="1"/>
      <c r="D3" s="1"/>
      <c r="E3" s="1"/>
      <c r="F3" s="1"/>
      <c r="G3" s="1"/>
      <c r="H3" s="1"/>
    </row>
    <row r="4" spans="1:8" ht="30" customHeight="1" x14ac:dyDescent="0.3">
      <c r="A4" s="17" t="s">
        <v>1</v>
      </c>
      <c r="B4" s="17"/>
      <c r="C4" s="17"/>
      <c r="D4" s="17"/>
      <c r="E4" s="17"/>
      <c r="F4" s="17"/>
      <c r="G4" s="17"/>
      <c r="H4" s="17"/>
    </row>
    <row r="5" spans="1:8" ht="15" customHeight="1" x14ac:dyDescent="0.3">
      <c r="A5" s="17"/>
      <c r="B5" s="17"/>
      <c r="C5" s="17"/>
      <c r="D5" s="17"/>
      <c r="E5" s="17"/>
      <c r="F5" s="17"/>
      <c r="G5" s="17"/>
      <c r="H5" s="17"/>
    </row>
    <row r="6" spans="1:8" ht="15" customHeight="1" x14ac:dyDescent="0.3">
      <c r="A6" s="1"/>
      <c r="B6" s="1"/>
      <c r="C6" s="1"/>
      <c r="D6" s="1"/>
      <c r="E6" s="1"/>
      <c r="F6" s="1"/>
      <c r="G6" s="1"/>
      <c r="H6" s="1"/>
    </row>
    <row r="7" spans="1:8" ht="22.05" customHeight="1" x14ac:dyDescent="0.3">
      <c r="A7" s="18" t="s">
        <v>109</v>
      </c>
      <c r="B7" s="18"/>
      <c r="C7" s="18"/>
      <c r="D7" s="18"/>
      <c r="E7" s="18"/>
      <c r="F7" s="18"/>
      <c r="G7" s="18"/>
      <c r="H7" s="18"/>
    </row>
    <row r="8" spans="1:8" ht="22.05" customHeight="1" x14ac:dyDescent="0.3">
      <c r="A8" s="18"/>
      <c r="B8" s="18"/>
      <c r="C8" s="18"/>
      <c r="D8" s="18"/>
      <c r="E8" s="18"/>
      <c r="F8" s="18"/>
      <c r="G8" s="18"/>
      <c r="H8" s="18"/>
    </row>
    <row r="9" spans="1:8" ht="22.05" customHeight="1" x14ac:dyDescent="0.3">
      <c r="A9" s="18"/>
      <c r="B9" s="18"/>
      <c r="C9" s="18"/>
      <c r="D9" s="18"/>
      <c r="E9" s="18"/>
      <c r="F9" s="18"/>
      <c r="G9" s="18"/>
      <c r="H9" s="18"/>
    </row>
    <row r="10" spans="1:8" ht="15" customHeight="1" x14ac:dyDescent="0.3">
      <c r="A10" s="1"/>
      <c r="B10" s="1"/>
      <c r="C10" s="1"/>
      <c r="D10" s="1"/>
      <c r="E10" s="1"/>
      <c r="F10" s="1"/>
      <c r="G10" s="1"/>
      <c r="H10" s="1"/>
    </row>
    <row r="11" spans="1:8" ht="15" customHeight="1" x14ac:dyDescent="0.3">
      <c r="A11" s="19" t="s">
        <v>114</v>
      </c>
      <c r="B11" s="19"/>
      <c r="C11" s="19"/>
      <c r="D11" s="19"/>
      <c r="E11" s="19"/>
      <c r="F11" s="19"/>
      <c r="G11" s="19"/>
      <c r="H11" s="19"/>
    </row>
    <row r="12" spans="1:8" ht="28.05" customHeight="1" x14ac:dyDescent="0.3">
      <c r="A12" s="20" t="s">
        <v>115</v>
      </c>
      <c r="B12" s="20"/>
      <c r="C12" s="20"/>
      <c r="D12" s="20"/>
      <c r="E12" s="20"/>
      <c r="F12" s="20"/>
      <c r="G12" s="20"/>
      <c r="H12" s="20"/>
    </row>
    <row r="13" spans="1:8" ht="28.05" customHeight="1" x14ac:dyDescent="0.3">
      <c r="A13" s="20"/>
      <c r="B13" s="20"/>
      <c r="C13" s="20"/>
      <c r="D13" s="20"/>
      <c r="E13" s="20"/>
      <c r="F13" s="20"/>
      <c r="G13" s="20"/>
      <c r="H13" s="20"/>
    </row>
    <row r="14" spans="1:8" ht="30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15" customHeight="1" x14ac:dyDescent="0.3">
      <c r="A15" s="21" t="s">
        <v>2</v>
      </c>
      <c r="B15" s="21"/>
      <c r="C15" s="21"/>
      <c r="D15" s="21"/>
      <c r="E15" s="21"/>
      <c r="F15" s="21"/>
      <c r="G15" s="21"/>
      <c r="H15" s="21"/>
    </row>
    <row r="16" spans="1:8" ht="24" customHeight="1" x14ac:dyDescent="0.3">
      <c r="A16" s="20" t="s">
        <v>110</v>
      </c>
      <c r="B16" s="20"/>
      <c r="C16" s="20"/>
      <c r="D16" s="20"/>
      <c r="E16" s="20"/>
      <c r="F16" s="20"/>
      <c r="G16" s="20"/>
      <c r="H16" s="20"/>
    </row>
    <row r="17" spans="1:8" ht="24" customHeight="1" x14ac:dyDescent="0.3">
      <c r="A17" s="20"/>
      <c r="B17" s="20"/>
      <c r="C17" s="20"/>
      <c r="D17" s="20"/>
      <c r="E17" s="20"/>
      <c r="F17" s="20"/>
      <c r="G17" s="20"/>
      <c r="H17" s="20"/>
    </row>
    <row r="18" spans="1:8" ht="24" customHeight="1" x14ac:dyDescent="0.3">
      <c r="A18" s="20"/>
      <c r="B18" s="20"/>
      <c r="C18" s="20"/>
      <c r="D18" s="20"/>
      <c r="E18" s="20"/>
      <c r="F18" s="20"/>
      <c r="G18" s="20"/>
      <c r="H18" s="20"/>
    </row>
    <row r="19" spans="1:8" ht="15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15" customHeight="1" x14ac:dyDescent="0.3">
      <c r="A20" s="21" t="s">
        <v>3</v>
      </c>
      <c r="B20" s="21"/>
      <c r="C20" s="21"/>
      <c r="D20" s="21"/>
      <c r="E20" s="21"/>
      <c r="F20" s="21"/>
      <c r="G20" s="21"/>
      <c r="H20" s="21"/>
    </row>
    <row r="21" spans="1:8" ht="24" customHeight="1" x14ac:dyDescent="0.3">
      <c r="A21" s="20" t="s">
        <v>111</v>
      </c>
      <c r="B21" s="20"/>
      <c r="C21" s="20"/>
      <c r="D21" s="20"/>
      <c r="E21" s="20"/>
      <c r="F21" s="20"/>
      <c r="G21" s="20"/>
      <c r="H21" s="20"/>
    </row>
    <row r="22" spans="1:8" ht="24" customHeight="1" x14ac:dyDescent="0.3">
      <c r="A22" s="20"/>
      <c r="B22" s="20"/>
      <c r="C22" s="20"/>
      <c r="D22" s="20"/>
      <c r="E22" s="20"/>
      <c r="F22" s="20"/>
      <c r="G22" s="20"/>
      <c r="H22" s="20"/>
    </row>
    <row r="23" spans="1:8" ht="24" customHeight="1" x14ac:dyDescent="0.3">
      <c r="A23" s="20"/>
      <c r="B23" s="20"/>
      <c r="C23" s="20"/>
      <c r="D23" s="20"/>
      <c r="E23" s="20"/>
      <c r="F23" s="20"/>
      <c r="G23" s="20"/>
      <c r="H23" s="20"/>
    </row>
    <row r="24" spans="1:8" ht="15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15" customHeight="1" x14ac:dyDescent="0.3">
      <c r="A25" s="21" t="s">
        <v>4</v>
      </c>
      <c r="B25" s="21"/>
      <c r="C25" s="21"/>
      <c r="D25" s="21"/>
      <c r="E25" s="21"/>
      <c r="F25" s="21"/>
      <c r="G25" s="21"/>
      <c r="H25" s="21"/>
    </row>
    <row r="26" spans="1:8" ht="24" customHeight="1" x14ac:dyDescent="0.3">
      <c r="A26" s="20" t="s">
        <v>112</v>
      </c>
      <c r="B26" s="20"/>
      <c r="C26" s="20"/>
      <c r="D26" s="20"/>
      <c r="E26" s="20"/>
      <c r="F26" s="20"/>
      <c r="G26" s="20"/>
      <c r="H26" s="20"/>
    </row>
    <row r="27" spans="1:8" ht="24" customHeight="1" x14ac:dyDescent="0.3">
      <c r="A27" s="20"/>
      <c r="B27" s="20"/>
      <c r="C27" s="20"/>
      <c r="D27" s="20"/>
      <c r="E27" s="20"/>
      <c r="F27" s="20"/>
      <c r="G27" s="20"/>
      <c r="H27" s="20"/>
    </row>
    <row r="28" spans="1:8" ht="24" customHeight="1" x14ac:dyDescent="0.3">
      <c r="A28" s="20"/>
      <c r="B28" s="20"/>
      <c r="C28" s="20"/>
      <c r="D28" s="20"/>
      <c r="E28" s="20"/>
      <c r="F28" s="20"/>
      <c r="G28" s="20"/>
      <c r="H28" s="20"/>
    </row>
    <row r="29" spans="1:8" ht="15" customHeight="1" x14ac:dyDescent="0.3">
      <c r="A29" s="1"/>
      <c r="B29" s="1"/>
      <c r="C29" s="1"/>
      <c r="D29" s="1"/>
      <c r="E29" s="1"/>
      <c r="F29" s="1"/>
      <c r="G29" s="1"/>
      <c r="H29" s="1"/>
    </row>
    <row r="30" spans="1:8" ht="15" customHeight="1" x14ac:dyDescent="0.3">
      <c r="A30" s="21" t="s">
        <v>5</v>
      </c>
      <c r="B30" s="21"/>
      <c r="C30" s="21"/>
      <c r="D30" s="21"/>
      <c r="E30" s="21"/>
      <c r="F30" s="21"/>
      <c r="G30" s="21"/>
      <c r="H30" s="21"/>
    </row>
    <row r="31" spans="1:8" ht="22.05" customHeight="1" x14ac:dyDescent="0.3">
      <c r="A31" s="20" t="s">
        <v>113</v>
      </c>
      <c r="B31" s="20"/>
      <c r="C31" s="20"/>
      <c r="D31" s="20"/>
      <c r="E31" s="20"/>
      <c r="F31" s="20"/>
      <c r="G31" s="20"/>
      <c r="H31" s="20"/>
    </row>
    <row r="32" spans="1:8" ht="22.05" customHeight="1" x14ac:dyDescent="0.3">
      <c r="A32" s="20"/>
      <c r="B32" s="20"/>
      <c r="C32" s="20"/>
      <c r="D32" s="20"/>
      <c r="E32" s="20"/>
      <c r="F32" s="20"/>
      <c r="G32" s="20"/>
      <c r="H32" s="20"/>
    </row>
    <row r="33" spans="1:8" ht="22.05" customHeight="1" x14ac:dyDescent="0.3">
      <c r="A33" s="20"/>
      <c r="B33" s="20"/>
      <c r="C33" s="20"/>
      <c r="D33" s="20"/>
      <c r="E33" s="20"/>
      <c r="F33" s="20"/>
      <c r="G33" s="20"/>
      <c r="H33" s="20"/>
    </row>
    <row r="34" spans="1:8" ht="1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15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5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5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5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5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5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5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5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5" customHeight="1" x14ac:dyDescent="0.3">
      <c r="A43" s="1"/>
      <c r="B43" s="1"/>
      <c r="C43" s="1"/>
      <c r="D43" s="1"/>
      <c r="E43" s="1"/>
      <c r="F43" s="1"/>
      <c r="G43" s="1"/>
      <c r="H43" s="1"/>
    </row>
  </sheetData>
  <mergeCells count="13">
    <mergeCell ref="A26:H28"/>
    <mergeCell ref="A30:H30"/>
    <mergeCell ref="A31:H33"/>
    <mergeCell ref="A15:H15"/>
    <mergeCell ref="A16:H18"/>
    <mergeCell ref="A20:H20"/>
    <mergeCell ref="A21:H23"/>
    <mergeCell ref="A25:H25"/>
    <mergeCell ref="A1:H2"/>
    <mergeCell ref="A4:H5"/>
    <mergeCell ref="A7:H9"/>
    <mergeCell ref="A11:H11"/>
    <mergeCell ref="A12:H13"/>
  </mergeCells>
  <pageMargins left="0.75" right="0.75" top="1" bottom="1" header="0.511811023622047" footer="0.5"/>
  <pageSetup orientation="portrait" horizontalDpi="300" verticalDpi="300"/>
  <headerFooter>
    <oddFooter>&amp;CFictional portfolio demonstration data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9"/>
  <sheetViews>
    <sheetView showGridLines="0" tabSelected="1" zoomScale="85" zoomScaleNormal="85" workbookViewId="0">
      <pane ySplit="13" topLeftCell="A14" activePane="bottomLeft" state="frozen"/>
      <selection pane="bottomLeft" activeCell="B16" sqref="B16"/>
    </sheetView>
  </sheetViews>
  <sheetFormatPr defaultColWidth="8.77734375" defaultRowHeight="15" customHeight="1" x14ac:dyDescent="0.3"/>
  <cols>
    <col min="1" max="1" width="22" customWidth="1"/>
    <col min="2" max="2" width="34" customWidth="1"/>
    <col min="3" max="3" width="13" customWidth="1"/>
    <col min="4" max="4" width="15" customWidth="1"/>
    <col min="5" max="5" width="18" customWidth="1"/>
    <col min="6" max="6" width="14" customWidth="1"/>
    <col min="7" max="8" width="32" customWidth="1"/>
    <col min="9" max="9" width="3" customWidth="1"/>
    <col min="10" max="10" width="18" customWidth="1"/>
    <col min="11" max="14" width="16" customWidth="1"/>
  </cols>
  <sheetData>
    <row r="1" spans="1:11" ht="15" customHeight="1" x14ac:dyDescent="0.3">
      <c r="A1" s="22" t="s">
        <v>6</v>
      </c>
      <c r="B1" s="22"/>
      <c r="C1" s="22"/>
      <c r="D1" s="22"/>
      <c r="E1" s="22"/>
      <c r="F1" s="22"/>
      <c r="G1" s="22"/>
      <c r="H1" s="22"/>
    </row>
    <row r="2" spans="1:11" ht="15" customHeight="1" x14ac:dyDescent="0.3">
      <c r="A2" s="22"/>
      <c r="B2" s="22"/>
      <c r="C2" s="22"/>
      <c r="D2" s="22"/>
      <c r="E2" s="22"/>
      <c r="F2" s="22"/>
      <c r="G2" s="22"/>
      <c r="H2" s="22"/>
    </row>
    <row r="3" spans="1:11" ht="15" customHeight="1" x14ac:dyDescent="0.3">
      <c r="A3" s="23" t="s">
        <v>7</v>
      </c>
      <c r="B3" s="23"/>
      <c r="C3" s="23"/>
      <c r="D3" s="23"/>
      <c r="E3" s="23"/>
      <c r="F3" s="23"/>
      <c r="G3" s="23"/>
      <c r="H3" s="23"/>
    </row>
    <row r="5" spans="1:11" ht="15" customHeight="1" x14ac:dyDescent="0.3">
      <c r="A5" s="24" t="s">
        <v>8</v>
      </c>
      <c r="B5" s="24"/>
      <c r="C5" s="25" t="s">
        <v>9</v>
      </c>
      <c r="D5" s="25"/>
      <c r="E5" s="26" t="s">
        <v>10</v>
      </c>
      <c r="F5" s="26"/>
      <c r="G5" s="27" t="s">
        <v>11</v>
      </c>
      <c r="H5" s="27"/>
    </row>
    <row r="6" spans="1:11" ht="15" customHeight="1" x14ac:dyDescent="0.3">
      <c r="A6" s="28">
        <f>COUNTA(A15:A26)</f>
        <v>12</v>
      </c>
      <c r="B6" s="28"/>
      <c r="C6" s="29">
        <f>COUNTIF(E15:E26,"Complete")</f>
        <v>8</v>
      </c>
      <c r="D6" s="29"/>
      <c r="E6" s="30">
        <f>COUNTIF(E15:E26,"Pending")</f>
        <v>4</v>
      </c>
      <c r="F6" s="30"/>
      <c r="G6" s="31">
        <f>COUNTIF(F15:F26,"Missing")</f>
        <v>1</v>
      </c>
      <c r="H6" s="31"/>
    </row>
    <row r="7" spans="1:11" ht="15" customHeight="1" x14ac:dyDescent="0.3">
      <c r="A7" s="28"/>
      <c r="B7" s="28"/>
      <c r="C7" s="29"/>
      <c r="D7" s="29"/>
      <c r="E7" s="30"/>
      <c r="F7" s="30"/>
      <c r="G7" s="31"/>
      <c r="H7" s="31"/>
    </row>
    <row r="9" spans="1:11" ht="15" customHeight="1" x14ac:dyDescent="0.3">
      <c r="A9" s="32" t="s">
        <v>12</v>
      </c>
      <c r="B9" s="32"/>
      <c r="C9" s="32"/>
      <c r="D9" s="32"/>
      <c r="E9" s="32" t="s">
        <v>13</v>
      </c>
      <c r="F9" s="32"/>
      <c r="G9" s="32"/>
      <c r="H9" s="32"/>
    </row>
    <row r="10" spans="1:11" ht="15" customHeight="1" x14ac:dyDescent="0.3">
      <c r="A10" s="33" t="str">
        <f>G15&amp;IF(G16&lt;&gt;"","; "&amp;G16,"")&amp;IF(G17&lt;&gt;"","; "&amp;G17,"")&amp;IF(G18&lt;&gt;"","; "&amp;G18,"")&amp;IF(G19&lt;&gt;"","; "&amp;G19,"")&amp;IF(G20&lt;&gt;"","; "&amp;G20,"")&amp;IF(G21&lt;&gt;"","; "&amp;G21,"")&amp;IF(G22&lt;&gt;"","; "&amp;G22,"")&amp;IF(G23&lt;&gt;"","; "&amp;G23,"")&amp;IF(G24&lt;&gt;"","; "&amp;G24,"")&amp;IF(G25&lt;&gt;"","; "&amp;G25,"")&amp;IF(G26&lt;&gt;"","; "&amp;G26,"")</f>
        <v>avery.stone@example.com; casey.rowan@example.com; taylor.quinn@example.com; riley.chen@example.com; marlowe.ellis@example.com; parker.lane@example.com; jamie.brooks@example.com; cameron.reed@example.com; drew.bennett@example.com; skyler.hayes@example.com; reese.nolan@example.com</v>
      </c>
      <c r="B10" s="33"/>
      <c r="C10" s="33"/>
      <c r="D10" s="33"/>
      <c r="E10" s="34" t="str">
        <f>H15&amp;IF(H16&lt;&gt;"","; "&amp;H16,"")&amp;IF(H17&lt;&gt;"","; "&amp;H17,"")&amp;IF(H18&lt;&gt;"","; "&amp;H18,"")&amp;IF(H19&lt;&gt;"","; "&amp;H19,"")&amp;IF(H20&lt;&gt;"","; "&amp;H20,"")&amp;IF(H21&lt;&gt;"","; "&amp;H21,"")&amp;IF(H22&lt;&gt;"","; "&amp;H22,"")&amp;IF(H23&lt;&gt;"","; "&amp;H23,"")&amp;IF(H24&lt;&gt;"","; "&amp;H24,"")&amp;IF(H25&lt;&gt;"","; "&amp;H25,"")&amp;IF(H26&lt;&gt;"","; "&amp;H26,"")</f>
        <v>; marlowe.ellis@example.com; cameron.reed@example.com; reese.nolan@example.com</v>
      </c>
      <c r="F10" s="34"/>
      <c r="G10" s="34"/>
      <c r="H10" s="34"/>
    </row>
    <row r="11" spans="1:11" ht="15" customHeight="1" x14ac:dyDescent="0.3">
      <c r="A11" s="33"/>
      <c r="B11" s="33"/>
      <c r="C11" s="33"/>
      <c r="D11" s="33"/>
      <c r="E11" s="34"/>
      <c r="F11" s="34"/>
      <c r="G11" s="34"/>
      <c r="H11" s="34"/>
    </row>
    <row r="12" spans="1:11" ht="15" customHeight="1" x14ac:dyDescent="0.3">
      <c r="A12" s="33"/>
      <c r="B12" s="33"/>
      <c r="C12" s="33"/>
      <c r="D12" s="33"/>
      <c r="E12" s="34"/>
      <c r="F12" s="34"/>
      <c r="G12" s="34"/>
      <c r="H12" s="34"/>
    </row>
    <row r="14" spans="1:11" ht="26.25" customHeight="1" x14ac:dyDescent="0.3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  <c r="J14" t="s">
        <v>22</v>
      </c>
      <c r="K14" t="s">
        <v>23</v>
      </c>
    </row>
    <row r="15" spans="1:11" ht="15" customHeight="1" x14ac:dyDescent="0.3">
      <c r="A15" s="4" t="str">
        <f>'Master Contacts'!B6</f>
        <v>Avery Stone</v>
      </c>
      <c r="B15" s="4" t="str">
        <f>IFERROR(INDEX('Master Contacts'!$C$6:$C$17,MATCH(A15,'Master Contacts'!$B$6:$B$17,0)),"")</f>
        <v>avery.stone@example.com</v>
      </c>
      <c r="C15" s="5">
        <f>COUNTIF('Admin Input'!$C$6:$C$25,A15)</f>
        <v>2</v>
      </c>
      <c r="D15" s="5">
        <f>COUNTIFS('Admin Input'!$C$6:$C$25,A15,'Admin Input'!$G$6:$G$25,"Complete")</f>
        <v>2</v>
      </c>
      <c r="E15" s="5" t="str">
        <f t="shared" ref="E15:E26" si="0">IF(C15=0,"No Records",IF(D15=C15,"Complete","Pending"))</f>
        <v>Complete</v>
      </c>
      <c r="F15" s="5" t="str">
        <f t="shared" ref="F15:F26" si="1">IF(B15="","Missing","OK")</f>
        <v>OK</v>
      </c>
      <c r="G15" s="5" t="str">
        <f t="shared" ref="G15:G26" si="2">IF(F15="OK",B15,"")</f>
        <v>avery.stone@example.com</v>
      </c>
      <c r="H15" s="5" t="str">
        <f t="shared" ref="H15:H26" si="3">IF(AND(E15="Pending",F15="OK"),B15,"")</f>
        <v/>
      </c>
      <c r="J15" t="s">
        <v>24</v>
      </c>
      <c r="K15">
        <f>C6</f>
        <v>8</v>
      </c>
    </row>
    <row r="16" spans="1:11" ht="15" customHeight="1" x14ac:dyDescent="0.3">
      <c r="A16" s="4" t="str">
        <f>'Master Contacts'!B7</f>
        <v>Jordan Vale</v>
      </c>
      <c r="B16" s="4" t="str">
        <f>IFERROR(INDEX('Master Contacts'!$C$6:$C$17,MATCH(A16,'Master Contacts'!$B$6:$B$17,0))&amp;"","")</f>
        <v/>
      </c>
      <c r="C16" s="5">
        <f>COUNTIF('Admin Input'!$C$6:$C$25,A16)</f>
        <v>1</v>
      </c>
      <c r="D16" s="5">
        <f>COUNTIFS('Admin Input'!$C$6:$C$25,A16,'Admin Input'!$G$6:$G$25,"Complete")</f>
        <v>0</v>
      </c>
      <c r="E16" s="5" t="str">
        <f t="shared" si="0"/>
        <v>Pending</v>
      </c>
      <c r="F16" s="5" t="str">
        <f t="shared" si="1"/>
        <v>Missing</v>
      </c>
      <c r="G16" s="5" t="str">
        <f t="shared" si="2"/>
        <v/>
      </c>
      <c r="H16" s="5" t="str">
        <f t="shared" si="3"/>
        <v/>
      </c>
      <c r="J16" t="s">
        <v>25</v>
      </c>
      <c r="K16">
        <f>E6</f>
        <v>4</v>
      </c>
    </row>
    <row r="17" spans="1:14" ht="15" customHeight="1" x14ac:dyDescent="0.3">
      <c r="A17" s="4" t="str">
        <f>'Master Contacts'!B8</f>
        <v>Casey Rowan</v>
      </c>
      <c r="B17" s="4" t="str">
        <f>IFERROR(INDEX('Master Contacts'!$C$6:$C$17,MATCH(A17,'Master Contacts'!$B$6:$B$17,0)),"")</f>
        <v>casey.rowan@example.com</v>
      </c>
      <c r="C17" s="5">
        <f>COUNTIF('Admin Input'!$C$6:$C$25,A17)</f>
        <v>2</v>
      </c>
      <c r="D17" s="5">
        <f>COUNTIFS('Admin Input'!$C$6:$C$25,A17,'Admin Input'!$G$6:$G$25,"Complete")</f>
        <v>2</v>
      </c>
      <c r="E17" s="5" t="str">
        <f t="shared" si="0"/>
        <v>Complete</v>
      </c>
      <c r="F17" s="5" t="str">
        <f t="shared" si="1"/>
        <v>OK</v>
      </c>
      <c r="G17" s="5" t="str">
        <f t="shared" si="2"/>
        <v>casey.rowan@example.com</v>
      </c>
      <c r="H17" s="5" t="str">
        <f t="shared" si="3"/>
        <v/>
      </c>
    </row>
    <row r="18" spans="1:14" ht="15" customHeight="1" x14ac:dyDescent="0.3">
      <c r="A18" s="4" t="str">
        <f>'Master Contacts'!B9</f>
        <v>Taylor Quinn</v>
      </c>
      <c r="B18" s="4" t="str">
        <f>IFERROR(INDEX('Master Contacts'!$C$6:$C$17,MATCH(A18,'Master Contacts'!$B$6:$B$17,0)),"")</f>
        <v>taylor.quinn@example.com</v>
      </c>
      <c r="C18" s="5">
        <f>COUNTIF('Admin Input'!$C$6:$C$25,A18)</f>
        <v>2</v>
      </c>
      <c r="D18" s="5">
        <f>COUNTIFS('Admin Input'!$C$6:$C$25,A18,'Admin Input'!$G$6:$G$25,"Complete")</f>
        <v>2</v>
      </c>
      <c r="E18" s="5" t="str">
        <f t="shared" si="0"/>
        <v>Complete</v>
      </c>
      <c r="F18" s="5" t="str">
        <f t="shared" si="1"/>
        <v>OK</v>
      </c>
      <c r="G18" s="5" t="str">
        <f t="shared" si="2"/>
        <v>taylor.quinn@example.com</v>
      </c>
      <c r="H18" s="5" t="str">
        <f t="shared" si="3"/>
        <v/>
      </c>
      <c r="J18" s="35" t="s">
        <v>26</v>
      </c>
      <c r="K18" s="35"/>
      <c r="L18" s="35"/>
      <c r="M18" s="35"/>
      <c r="N18" s="35"/>
    </row>
    <row r="19" spans="1:14" ht="15" customHeight="1" x14ac:dyDescent="0.3">
      <c r="A19" s="4" t="str">
        <f>'Master Contacts'!B10</f>
        <v>Riley Chen</v>
      </c>
      <c r="B19" s="4" t="str">
        <f>IFERROR(INDEX('Master Contacts'!$C$6:$C$17,MATCH(A19,'Master Contacts'!$B$6:$B$17,0)),"")</f>
        <v>riley.chen@example.com</v>
      </c>
      <c r="C19" s="5">
        <f>COUNTIF('Admin Input'!$C$6:$C$25,A19)</f>
        <v>1</v>
      </c>
      <c r="D19" s="5">
        <f>COUNTIFS('Admin Input'!$C$6:$C$25,A19,'Admin Input'!$G$6:$G$25,"Complete")</f>
        <v>1</v>
      </c>
      <c r="E19" s="5" t="str">
        <f t="shared" si="0"/>
        <v>Complete</v>
      </c>
      <c r="F19" s="5" t="str">
        <f t="shared" si="1"/>
        <v>OK</v>
      </c>
      <c r="G19" s="5" t="str">
        <f t="shared" si="2"/>
        <v>riley.chen@example.com</v>
      </c>
      <c r="H19" s="5" t="str">
        <f t="shared" si="3"/>
        <v/>
      </c>
      <c r="J19" s="36" t="s">
        <v>27</v>
      </c>
      <c r="K19" s="36"/>
      <c r="L19" s="36"/>
      <c r="M19" s="36"/>
      <c r="N19" s="36"/>
    </row>
    <row r="20" spans="1:14" ht="15" customHeight="1" x14ac:dyDescent="0.3">
      <c r="A20" s="4" t="str">
        <f>'Master Contacts'!B11</f>
        <v>Marlowe Ellis</v>
      </c>
      <c r="B20" s="4" t="str">
        <f>IFERROR(INDEX('Master Contacts'!$C$6:$C$17,MATCH(A20,'Master Contacts'!$B$6:$B$17,0)),"")</f>
        <v>marlowe.ellis@example.com</v>
      </c>
      <c r="C20" s="5">
        <f>COUNTIF('Admin Input'!$C$6:$C$25,A20)</f>
        <v>2</v>
      </c>
      <c r="D20" s="5">
        <f>COUNTIFS('Admin Input'!$C$6:$C$25,A20,'Admin Input'!$G$6:$G$25,"Complete")</f>
        <v>0</v>
      </c>
      <c r="E20" s="5" t="str">
        <f t="shared" si="0"/>
        <v>Pending</v>
      </c>
      <c r="F20" s="5" t="str">
        <f t="shared" si="1"/>
        <v>OK</v>
      </c>
      <c r="G20" s="5" t="str">
        <f t="shared" si="2"/>
        <v>marlowe.ellis@example.com</v>
      </c>
      <c r="H20" s="5" t="str">
        <f t="shared" si="3"/>
        <v>marlowe.ellis@example.com</v>
      </c>
      <c r="J20" s="36" t="s">
        <v>28</v>
      </c>
      <c r="K20" s="36"/>
      <c r="L20" s="36"/>
      <c r="M20" s="36"/>
      <c r="N20" s="36"/>
    </row>
    <row r="21" spans="1:14" ht="15" customHeight="1" x14ac:dyDescent="0.3">
      <c r="A21" s="4" t="str">
        <f>'Master Contacts'!B12</f>
        <v>Parker Lane</v>
      </c>
      <c r="B21" s="4" t="str">
        <f>IFERROR(INDEX('Master Contacts'!$C$6:$C$17,MATCH(A21,'Master Contacts'!$B$6:$B$17,0)),"")</f>
        <v>parker.lane@example.com</v>
      </c>
      <c r="C21" s="5">
        <f>COUNTIF('Admin Input'!$C$6:$C$25,A21)</f>
        <v>2</v>
      </c>
      <c r="D21" s="5">
        <f>COUNTIFS('Admin Input'!$C$6:$C$25,A21,'Admin Input'!$G$6:$G$25,"Complete")</f>
        <v>2</v>
      </c>
      <c r="E21" s="5" t="str">
        <f t="shared" si="0"/>
        <v>Complete</v>
      </c>
      <c r="F21" s="5" t="str">
        <f t="shared" si="1"/>
        <v>OK</v>
      </c>
      <c r="G21" s="5" t="str">
        <f t="shared" si="2"/>
        <v>parker.lane@example.com</v>
      </c>
      <c r="H21" s="5" t="str">
        <f t="shared" si="3"/>
        <v/>
      </c>
      <c r="J21" s="36" t="s">
        <v>29</v>
      </c>
      <c r="K21" s="36"/>
      <c r="L21" s="36"/>
      <c r="M21" s="36"/>
      <c r="N21" s="36"/>
    </row>
    <row r="22" spans="1:14" ht="15" customHeight="1" x14ac:dyDescent="0.3">
      <c r="A22" s="4" t="str">
        <f>'Master Contacts'!B13</f>
        <v>Jamie Brooks</v>
      </c>
      <c r="B22" s="4" t="str">
        <f>IFERROR(INDEX('Master Contacts'!$C$6:$C$17,MATCH(A22,'Master Contacts'!$B$6:$B$17,0)),"")</f>
        <v>jamie.brooks@example.com</v>
      </c>
      <c r="C22" s="5">
        <f>COUNTIF('Admin Input'!$C$6:$C$25,A22)</f>
        <v>2</v>
      </c>
      <c r="D22" s="5">
        <f>COUNTIFS('Admin Input'!$C$6:$C$25,A22,'Admin Input'!$G$6:$G$25,"Complete")</f>
        <v>2</v>
      </c>
      <c r="E22" s="5" t="str">
        <f t="shared" si="0"/>
        <v>Complete</v>
      </c>
      <c r="F22" s="5" t="str">
        <f t="shared" si="1"/>
        <v>OK</v>
      </c>
      <c r="G22" s="5" t="str">
        <f t="shared" si="2"/>
        <v>jamie.brooks@example.com</v>
      </c>
      <c r="H22" s="5" t="str">
        <f t="shared" si="3"/>
        <v/>
      </c>
      <c r="J22" s="36" t="s">
        <v>30</v>
      </c>
      <c r="K22" s="36"/>
      <c r="L22" s="36"/>
      <c r="M22" s="36"/>
      <c r="N22" s="36"/>
    </row>
    <row r="23" spans="1:14" ht="15" customHeight="1" x14ac:dyDescent="0.3">
      <c r="A23" s="4" t="str">
        <f>'Master Contacts'!B14</f>
        <v>Cameron Reed</v>
      </c>
      <c r="B23" s="4" t="str">
        <f>IFERROR(INDEX('Master Contacts'!$C$6:$C$17,MATCH(A23,'Master Contacts'!$B$6:$B$17,0)),"")</f>
        <v>cameron.reed@example.com</v>
      </c>
      <c r="C23" s="5">
        <f>COUNTIF('Admin Input'!$C$6:$C$25,A23)</f>
        <v>1</v>
      </c>
      <c r="D23" s="5">
        <f>COUNTIFS('Admin Input'!$C$6:$C$25,A23,'Admin Input'!$G$6:$G$25,"Complete")</f>
        <v>0</v>
      </c>
      <c r="E23" s="5" t="str">
        <f t="shared" si="0"/>
        <v>Pending</v>
      </c>
      <c r="F23" s="5" t="str">
        <f t="shared" si="1"/>
        <v>OK</v>
      </c>
      <c r="G23" s="5" t="str">
        <f t="shared" si="2"/>
        <v>cameron.reed@example.com</v>
      </c>
      <c r="H23" s="5" t="str">
        <f t="shared" si="3"/>
        <v>cameron.reed@example.com</v>
      </c>
      <c r="J23" s="36" t="s">
        <v>31</v>
      </c>
      <c r="K23" s="36"/>
      <c r="L23" s="36"/>
      <c r="M23" s="36"/>
      <c r="N23" s="36"/>
    </row>
    <row r="24" spans="1:14" ht="15" customHeight="1" x14ac:dyDescent="0.3">
      <c r="A24" s="4" t="str">
        <f>'Master Contacts'!B15</f>
        <v>Drew Bennett</v>
      </c>
      <c r="B24" s="4" t="str">
        <f>IFERROR(INDEX('Master Contacts'!$C$6:$C$17,MATCH(A24,'Master Contacts'!$B$6:$B$17,0)),"")</f>
        <v>drew.bennett@example.com</v>
      </c>
      <c r="C24" s="5">
        <f>COUNTIF('Admin Input'!$C$6:$C$25,A24)</f>
        <v>2</v>
      </c>
      <c r="D24" s="5">
        <f>COUNTIFS('Admin Input'!$C$6:$C$25,A24,'Admin Input'!$G$6:$G$25,"Complete")</f>
        <v>2</v>
      </c>
      <c r="E24" s="5" t="str">
        <f t="shared" si="0"/>
        <v>Complete</v>
      </c>
      <c r="F24" s="5" t="str">
        <f t="shared" si="1"/>
        <v>OK</v>
      </c>
      <c r="G24" s="5" t="str">
        <f t="shared" si="2"/>
        <v>drew.bennett@example.com</v>
      </c>
      <c r="H24" s="5" t="str">
        <f t="shared" si="3"/>
        <v/>
      </c>
      <c r="J24" s="36" t="s">
        <v>32</v>
      </c>
      <c r="K24" s="36"/>
      <c r="L24" s="36"/>
      <c r="M24" s="36"/>
      <c r="N24" s="36"/>
    </row>
    <row r="25" spans="1:14" ht="15" customHeight="1" x14ac:dyDescent="0.3">
      <c r="A25" s="4" t="str">
        <f>'Master Contacts'!B16</f>
        <v>Skyler Hayes</v>
      </c>
      <c r="B25" s="4" t="str">
        <f>IFERROR(INDEX('Master Contacts'!$C$6:$C$17,MATCH(A25,'Master Contacts'!$B$6:$B$17,0)),"")</f>
        <v>skyler.hayes@example.com</v>
      </c>
      <c r="C25" s="5">
        <f>COUNTIF('Admin Input'!$C$6:$C$25,A25)</f>
        <v>1</v>
      </c>
      <c r="D25" s="5">
        <f>COUNTIFS('Admin Input'!$C$6:$C$25,A25,'Admin Input'!$G$6:$G$25,"Complete")</f>
        <v>1</v>
      </c>
      <c r="E25" s="5" t="str">
        <f t="shared" si="0"/>
        <v>Complete</v>
      </c>
      <c r="F25" s="5" t="str">
        <f t="shared" si="1"/>
        <v>OK</v>
      </c>
      <c r="G25" s="5" t="str">
        <f t="shared" si="2"/>
        <v>skyler.hayes@example.com</v>
      </c>
      <c r="H25" s="5" t="str">
        <f t="shared" si="3"/>
        <v/>
      </c>
      <c r="J25" s="37" t="s">
        <v>33</v>
      </c>
      <c r="K25" s="37"/>
      <c r="L25" s="37"/>
      <c r="M25" s="37"/>
      <c r="N25" s="37"/>
    </row>
    <row r="26" spans="1:14" ht="15" customHeight="1" x14ac:dyDescent="0.3">
      <c r="A26" s="4" t="str">
        <f>'Master Contacts'!B17</f>
        <v>Reese Nolan</v>
      </c>
      <c r="B26" s="4" t="str">
        <f>IFERROR(INDEX('Master Contacts'!$C$6:$C$17,MATCH(A26,'Master Contacts'!$B$6:$B$17,0)),"")</f>
        <v>reese.nolan@example.com</v>
      </c>
      <c r="C26" s="5">
        <f>COUNTIF('Admin Input'!$C$6:$C$25,A26)</f>
        <v>2</v>
      </c>
      <c r="D26" s="5">
        <f>COUNTIFS('Admin Input'!$C$6:$C$25,A26,'Admin Input'!$G$6:$G$25,"Complete")</f>
        <v>0</v>
      </c>
      <c r="E26" s="5" t="str">
        <f t="shared" si="0"/>
        <v>Pending</v>
      </c>
      <c r="F26" s="5" t="str">
        <f t="shared" si="1"/>
        <v>OK</v>
      </c>
      <c r="G26" s="5" t="str">
        <f t="shared" si="2"/>
        <v>reese.nolan@example.com</v>
      </c>
      <c r="H26" s="5" t="str">
        <f t="shared" si="3"/>
        <v>reese.nolan@example.com</v>
      </c>
      <c r="J26" s="33" t="s">
        <v>34</v>
      </c>
      <c r="K26" s="33"/>
      <c r="L26" s="33"/>
      <c r="M26" s="33"/>
      <c r="N26" s="33"/>
    </row>
    <row r="27" spans="1:14" ht="15" customHeight="1" x14ac:dyDescent="0.3">
      <c r="J27" s="33"/>
      <c r="K27" s="33"/>
      <c r="L27" s="33"/>
      <c r="M27" s="33"/>
      <c r="N27" s="33"/>
    </row>
    <row r="28" spans="1:14" ht="15" customHeight="1" x14ac:dyDescent="0.3">
      <c r="J28" s="33"/>
      <c r="K28" s="33"/>
      <c r="L28" s="33"/>
      <c r="M28" s="33"/>
      <c r="N28" s="33"/>
    </row>
    <row r="29" spans="1:14" ht="15" customHeight="1" x14ac:dyDescent="0.3">
      <c r="J29" s="33"/>
      <c r="K29" s="33"/>
      <c r="L29" s="33"/>
      <c r="M29" s="33"/>
      <c r="N29" s="33"/>
    </row>
  </sheetData>
  <mergeCells count="23">
    <mergeCell ref="J26:N29"/>
    <mergeCell ref="J21:N21"/>
    <mergeCell ref="J22:N22"/>
    <mergeCell ref="J23:N23"/>
    <mergeCell ref="J24:N24"/>
    <mergeCell ref="J25:N25"/>
    <mergeCell ref="A10:D12"/>
    <mergeCell ref="E10:H12"/>
    <mergeCell ref="J18:N18"/>
    <mergeCell ref="J19:N19"/>
    <mergeCell ref="J20:N20"/>
    <mergeCell ref="A6:B7"/>
    <mergeCell ref="C6:D7"/>
    <mergeCell ref="E6:F7"/>
    <mergeCell ref="G6:H7"/>
    <mergeCell ref="A9:D9"/>
    <mergeCell ref="E9:H9"/>
    <mergeCell ref="A1:H2"/>
    <mergeCell ref="A3:H3"/>
    <mergeCell ref="A5:B5"/>
    <mergeCell ref="C5:D5"/>
    <mergeCell ref="E5:F5"/>
    <mergeCell ref="G5:H5"/>
  </mergeCells>
  <conditionalFormatting sqref="E15:E26">
    <cfRule type="expression" dxfId="7" priority="2">
      <formula>E15="Complete"</formula>
    </cfRule>
    <cfRule type="expression" dxfId="6" priority="3">
      <formula>E15="Pending"</formula>
    </cfRule>
  </conditionalFormatting>
  <conditionalFormatting sqref="F15:F26">
    <cfRule type="expression" dxfId="5" priority="4">
      <formula>F15="Missing"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&amp;CFictional portfolio demonstration data only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5"/>
  <sheetViews>
    <sheetView showGridLines="0" zoomScaleNormal="100" workbookViewId="0">
      <pane ySplit="5" topLeftCell="A6" activePane="bottomLeft" state="frozen"/>
      <selection pane="bottomLeft" activeCell="E33" sqref="E33"/>
    </sheetView>
  </sheetViews>
  <sheetFormatPr defaultColWidth="8.77734375" defaultRowHeight="15" customHeight="1" x14ac:dyDescent="0.3"/>
  <cols>
    <col min="1" max="2" width="14" customWidth="1"/>
    <col min="3" max="3" width="22" customWidth="1"/>
    <col min="4" max="4" width="16" customWidth="1"/>
    <col min="5" max="5" width="22" customWidth="1"/>
    <col min="6" max="6" width="24" customWidth="1"/>
    <col min="7" max="7" width="17" customWidth="1"/>
    <col min="8" max="8" width="23" customWidth="1"/>
    <col min="9" max="9" width="28" customWidth="1"/>
  </cols>
  <sheetData>
    <row r="1" spans="1:9" ht="15" customHeight="1" x14ac:dyDescent="0.3">
      <c r="A1" s="22" t="s">
        <v>35</v>
      </c>
      <c r="B1" s="22"/>
      <c r="C1" s="22"/>
      <c r="D1" s="22"/>
      <c r="E1" s="22"/>
      <c r="F1" s="22"/>
      <c r="G1" s="22"/>
      <c r="H1" s="22"/>
      <c r="I1" s="22"/>
    </row>
    <row r="2" spans="1:9" ht="15" customHeight="1" x14ac:dyDescent="0.3">
      <c r="A2" s="22"/>
      <c r="B2" s="22"/>
      <c r="C2" s="22"/>
      <c r="D2" s="22"/>
      <c r="E2" s="22"/>
      <c r="F2" s="22"/>
      <c r="G2" s="22"/>
      <c r="H2" s="22"/>
      <c r="I2" s="22"/>
    </row>
    <row r="3" spans="1:9" ht="36" customHeight="1" x14ac:dyDescent="0.3">
      <c r="A3" s="38" t="s">
        <v>36</v>
      </c>
      <c r="B3" s="38"/>
      <c r="C3" s="38"/>
      <c r="D3" s="38"/>
      <c r="E3" s="38"/>
      <c r="F3" s="38"/>
      <c r="G3" s="38"/>
      <c r="H3" s="38"/>
      <c r="I3" s="38"/>
    </row>
    <row r="5" spans="1:9" ht="26.25" customHeight="1" x14ac:dyDescent="0.3">
      <c r="A5" s="3" t="s">
        <v>37</v>
      </c>
      <c r="B5" s="3" t="s">
        <v>38</v>
      </c>
      <c r="C5" s="3" t="s">
        <v>14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</row>
    <row r="6" spans="1:9" ht="15" customHeight="1" x14ac:dyDescent="0.3">
      <c r="A6" s="6">
        <v>1</v>
      </c>
      <c r="B6" s="6" t="s">
        <v>45</v>
      </c>
      <c r="C6" s="6" t="s">
        <v>46</v>
      </c>
      <c r="D6" s="7">
        <v>46237</v>
      </c>
      <c r="E6" s="8" t="s">
        <v>47</v>
      </c>
      <c r="F6" s="8"/>
      <c r="G6" s="9" t="str">
        <f t="shared" ref="G6:G25" si="0">IF(OR(E6&lt;&gt;"",F6&lt;&gt;""),"Complete","Pending")</f>
        <v>Complete</v>
      </c>
      <c r="H6" s="9" t="str">
        <f t="shared" ref="H6:H25" si="1">IF(AND(E6&lt;&gt;"",F6&lt;&gt;""),"Review: both entered",IF(OR(E6&lt;&gt;"",F6&lt;&gt;""),"OK","Awaiting response"))</f>
        <v>OK</v>
      </c>
      <c r="I6" s="8"/>
    </row>
    <row r="7" spans="1:9" ht="15" customHeight="1" x14ac:dyDescent="0.3">
      <c r="A7" s="6">
        <v>2</v>
      </c>
      <c r="B7" s="6" t="s">
        <v>45</v>
      </c>
      <c r="C7" s="6" t="s">
        <v>46</v>
      </c>
      <c r="D7" s="7">
        <v>46251</v>
      </c>
      <c r="E7" s="8" t="s">
        <v>47</v>
      </c>
      <c r="F7" s="8"/>
      <c r="G7" s="9" t="str">
        <f t="shared" si="0"/>
        <v>Complete</v>
      </c>
      <c r="H7" s="9" t="str">
        <f t="shared" si="1"/>
        <v>OK</v>
      </c>
      <c r="I7" s="8"/>
    </row>
    <row r="8" spans="1:9" ht="15" customHeight="1" x14ac:dyDescent="0.3">
      <c r="A8" s="6">
        <v>3</v>
      </c>
      <c r="B8" s="6" t="s">
        <v>48</v>
      </c>
      <c r="C8" s="6" t="s">
        <v>49</v>
      </c>
      <c r="D8" s="7">
        <v>46238</v>
      </c>
      <c r="E8" s="8"/>
      <c r="F8" s="8"/>
      <c r="G8" s="9" t="str">
        <f t="shared" si="0"/>
        <v>Pending</v>
      </c>
      <c r="H8" s="9" t="str">
        <f t="shared" si="1"/>
        <v>Awaiting response</v>
      </c>
      <c r="I8" s="8"/>
    </row>
    <row r="9" spans="1:9" ht="15" customHeight="1" x14ac:dyDescent="0.3">
      <c r="A9" s="6">
        <v>4</v>
      </c>
      <c r="B9" s="6" t="s">
        <v>50</v>
      </c>
      <c r="C9" s="6" t="s">
        <v>51</v>
      </c>
      <c r="D9" s="7">
        <v>46239</v>
      </c>
      <c r="E9" s="8"/>
      <c r="F9" s="8" t="s">
        <v>52</v>
      </c>
      <c r="G9" s="9" t="str">
        <f t="shared" si="0"/>
        <v>Complete</v>
      </c>
      <c r="H9" s="9" t="str">
        <f t="shared" si="1"/>
        <v>OK</v>
      </c>
      <c r="I9" s="8"/>
    </row>
    <row r="10" spans="1:9" ht="15" customHeight="1" x14ac:dyDescent="0.3">
      <c r="A10" s="6">
        <v>5</v>
      </c>
      <c r="B10" s="6" t="s">
        <v>53</v>
      </c>
      <c r="C10" s="6" t="s">
        <v>54</v>
      </c>
      <c r="D10" s="7">
        <v>46240</v>
      </c>
      <c r="E10" s="8"/>
      <c r="F10" s="8" t="s">
        <v>55</v>
      </c>
      <c r="G10" s="9" t="str">
        <f t="shared" si="0"/>
        <v>Complete</v>
      </c>
      <c r="H10" s="9" t="str">
        <f t="shared" si="1"/>
        <v>OK</v>
      </c>
      <c r="I10" s="8"/>
    </row>
    <row r="11" spans="1:9" ht="15" customHeight="1" x14ac:dyDescent="0.3">
      <c r="A11" s="6">
        <v>6</v>
      </c>
      <c r="B11" s="6" t="s">
        <v>53</v>
      </c>
      <c r="C11" s="6" t="s">
        <v>54</v>
      </c>
      <c r="D11" s="7">
        <v>46254</v>
      </c>
      <c r="E11" s="8"/>
      <c r="F11" s="8" t="s">
        <v>55</v>
      </c>
      <c r="G11" s="9" t="str">
        <f t="shared" si="0"/>
        <v>Complete</v>
      </c>
      <c r="H11" s="9" t="str">
        <f t="shared" si="1"/>
        <v>OK</v>
      </c>
      <c r="I11" s="8"/>
    </row>
    <row r="12" spans="1:9" ht="15" customHeight="1" x14ac:dyDescent="0.3">
      <c r="A12" s="6">
        <v>7</v>
      </c>
      <c r="B12" s="6" t="s">
        <v>56</v>
      </c>
      <c r="C12" s="6" t="s">
        <v>57</v>
      </c>
      <c r="D12" s="7">
        <v>46241</v>
      </c>
      <c r="E12" s="8" t="s">
        <v>58</v>
      </c>
      <c r="F12" s="8"/>
      <c r="G12" s="9" t="str">
        <f t="shared" si="0"/>
        <v>Complete</v>
      </c>
      <c r="H12" s="9" t="str">
        <f t="shared" si="1"/>
        <v>OK</v>
      </c>
      <c r="I12" s="8"/>
    </row>
    <row r="13" spans="1:9" ht="15" customHeight="1" x14ac:dyDescent="0.3">
      <c r="A13" s="6">
        <v>8</v>
      </c>
      <c r="B13" s="6" t="s">
        <v>59</v>
      </c>
      <c r="C13" s="6" t="s">
        <v>60</v>
      </c>
      <c r="D13" s="7">
        <v>46244</v>
      </c>
      <c r="E13" s="8"/>
      <c r="F13" s="8"/>
      <c r="G13" s="9" t="str">
        <f t="shared" si="0"/>
        <v>Pending</v>
      </c>
      <c r="H13" s="9" t="str">
        <f t="shared" si="1"/>
        <v>Awaiting response</v>
      </c>
      <c r="I13" s="8"/>
    </row>
    <row r="14" spans="1:9" ht="15" customHeight="1" x14ac:dyDescent="0.3">
      <c r="A14" s="6">
        <v>9</v>
      </c>
      <c r="B14" s="6" t="s">
        <v>59</v>
      </c>
      <c r="C14" s="6" t="s">
        <v>60</v>
      </c>
      <c r="D14" s="7">
        <v>46258</v>
      </c>
      <c r="E14" s="8"/>
      <c r="F14" s="8"/>
      <c r="G14" s="9" t="str">
        <f t="shared" si="0"/>
        <v>Pending</v>
      </c>
      <c r="H14" s="9" t="str">
        <f t="shared" si="1"/>
        <v>Awaiting response</v>
      </c>
      <c r="I14" s="8"/>
    </row>
    <row r="15" spans="1:9" ht="15" customHeight="1" x14ac:dyDescent="0.3">
      <c r="A15" s="6">
        <v>10</v>
      </c>
      <c r="B15" s="6" t="s">
        <v>61</v>
      </c>
      <c r="C15" s="6" t="s">
        <v>62</v>
      </c>
      <c r="D15" s="7">
        <v>46245</v>
      </c>
      <c r="E15" s="8"/>
      <c r="F15" s="8" t="s">
        <v>63</v>
      </c>
      <c r="G15" s="9" t="str">
        <f t="shared" si="0"/>
        <v>Complete</v>
      </c>
      <c r="H15" s="9" t="str">
        <f t="shared" si="1"/>
        <v>OK</v>
      </c>
      <c r="I15" s="8"/>
    </row>
    <row r="16" spans="1:9" ht="15" customHeight="1" x14ac:dyDescent="0.3">
      <c r="A16" s="6">
        <v>11</v>
      </c>
      <c r="B16" s="6" t="s">
        <v>64</v>
      </c>
      <c r="C16" s="6" t="s">
        <v>65</v>
      </c>
      <c r="D16" s="7">
        <v>46246</v>
      </c>
      <c r="E16" s="8" t="s">
        <v>66</v>
      </c>
      <c r="F16" s="8"/>
      <c r="G16" s="9" t="str">
        <f t="shared" si="0"/>
        <v>Complete</v>
      </c>
      <c r="H16" s="9" t="str">
        <f t="shared" si="1"/>
        <v>OK</v>
      </c>
      <c r="I16" s="8"/>
    </row>
    <row r="17" spans="1:9" ht="15" customHeight="1" x14ac:dyDescent="0.3">
      <c r="A17" s="6">
        <v>12</v>
      </c>
      <c r="B17" s="6" t="s">
        <v>64</v>
      </c>
      <c r="C17" s="6" t="s">
        <v>65</v>
      </c>
      <c r="D17" s="7">
        <v>46260</v>
      </c>
      <c r="E17" s="8" t="s">
        <v>66</v>
      </c>
      <c r="F17" s="8"/>
      <c r="G17" s="9" t="str">
        <f t="shared" si="0"/>
        <v>Complete</v>
      </c>
      <c r="H17" s="9" t="str">
        <f t="shared" si="1"/>
        <v>OK</v>
      </c>
      <c r="I17" s="8"/>
    </row>
    <row r="18" spans="1:9" ht="15" customHeight="1" x14ac:dyDescent="0.3">
      <c r="A18" s="6">
        <v>13</v>
      </c>
      <c r="B18" s="6" t="s">
        <v>67</v>
      </c>
      <c r="C18" s="6" t="s">
        <v>68</v>
      </c>
      <c r="D18" s="7">
        <v>46247</v>
      </c>
      <c r="E18" s="8"/>
      <c r="F18" s="8"/>
      <c r="G18" s="9" t="str">
        <f t="shared" si="0"/>
        <v>Pending</v>
      </c>
      <c r="H18" s="9" t="str">
        <f t="shared" si="1"/>
        <v>Awaiting response</v>
      </c>
      <c r="I18" s="8"/>
    </row>
    <row r="19" spans="1:9" ht="15" customHeight="1" x14ac:dyDescent="0.3">
      <c r="A19" s="6">
        <v>14</v>
      </c>
      <c r="B19" s="6" t="s">
        <v>69</v>
      </c>
      <c r="C19" s="6" t="s">
        <v>70</v>
      </c>
      <c r="D19" s="7">
        <v>46248</v>
      </c>
      <c r="E19" s="8"/>
      <c r="F19" s="8" t="s">
        <v>71</v>
      </c>
      <c r="G19" s="9" t="str">
        <f t="shared" si="0"/>
        <v>Complete</v>
      </c>
      <c r="H19" s="9" t="str">
        <f t="shared" si="1"/>
        <v>OK</v>
      </c>
      <c r="I19" s="8"/>
    </row>
    <row r="20" spans="1:9" ht="15" customHeight="1" x14ac:dyDescent="0.3">
      <c r="A20" s="6">
        <v>15</v>
      </c>
      <c r="B20" s="6" t="s">
        <v>69</v>
      </c>
      <c r="C20" s="6" t="s">
        <v>70</v>
      </c>
      <c r="D20" s="7">
        <v>46262</v>
      </c>
      <c r="E20" s="8"/>
      <c r="F20" s="8" t="s">
        <v>71</v>
      </c>
      <c r="G20" s="9" t="str">
        <f t="shared" si="0"/>
        <v>Complete</v>
      </c>
      <c r="H20" s="9" t="str">
        <f t="shared" si="1"/>
        <v>OK</v>
      </c>
      <c r="I20" s="8"/>
    </row>
    <row r="21" spans="1:9" ht="15" customHeight="1" x14ac:dyDescent="0.3">
      <c r="A21" s="6">
        <v>16</v>
      </c>
      <c r="B21" s="6" t="s">
        <v>72</v>
      </c>
      <c r="C21" s="6" t="s">
        <v>73</v>
      </c>
      <c r="D21" s="7">
        <v>46252</v>
      </c>
      <c r="E21" s="8" t="s">
        <v>58</v>
      </c>
      <c r="F21" s="8"/>
      <c r="G21" s="9" t="str">
        <f t="shared" si="0"/>
        <v>Complete</v>
      </c>
      <c r="H21" s="9" t="str">
        <f t="shared" si="1"/>
        <v>OK</v>
      </c>
      <c r="I21" s="8"/>
    </row>
    <row r="22" spans="1:9" ht="15" customHeight="1" x14ac:dyDescent="0.3">
      <c r="A22" s="6">
        <v>17</v>
      </c>
      <c r="B22" s="6" t="s">
        <v>74</v>
      </c>
      <c r="C22" s="6" t="s">
        <v>75</v>
      </c>
      <c r="D22" s="7">
        <v>46253</v>
      </c>
      <c r="E22" s="8"/>
      <c r="F22" s="8"/>
      <c r="G22" s="9" t="str">
        <f t="shared" si="0"/>
        <v>Pending</v>
      </c>
      <c r="H22" s="9" t="str">
        <f t="shared" si="1"/>
        <v>Awaiting response</v>
      </c>
      <c r="I22" s="8"/>
    </row>
    <row r="23" spans="1:9" ht="15" customHeight="1" x14ac:dyDescent="0.3">
      <c r="A23" s="6">
        <v>18</v>
      </c>
      <c r="B23" s="6" t="s">
        <v>74</v>
      </c>
      <c r="C23" s="6" t="s">
        <v>75</v>
      </c>
      <c r="D23" s="7">
        <v>46255</v>
      </c>
      <c r="E23" s="8"/>
      <c r="F23" s="8"/>
      <c r="G23" s="9" t="str">
        <f t="shared" si="0"/>
        <v>Pending</v>
      </c>
      <c r="H23" s="9" t="str">
        <f t="shared" si="1"/>
        <v>Awaiting response</v>
      </c>
      <c r="I23" s="8"/>
    </row>
    <row r="24" spans="1:9" ht="15" customHeight="1" x14ac:dyDescent="0.3">
      <c r="A24" s="6">
        <v>19</v>
      </c>
      <c r="B24" s="6" t="s">
        <v>50</v>
      </c>
      <c r="C24" s="6" t="s">
        <v>51</v>
      </c>
      <c r="D24" s="7">
        <v>46259</v>
      </c>
      <c r="E24" s="8"/>
      <c r="F24" s="8" t="s">
        <v>52</v>
      </c>
      <c r="G24" s="9" t="str">
        <f t="shared" si="0"/>
        <v>Complete</v>
      </c>
      <c r="H24" s="9" t="str">
        <f t="shared" si="1"/>
        <v>OK</v>
      </c>
      <c r="I24" s="8"/>
    </row>
    <row r="25" spans="1:9" ht="15" customHeight="1" x14ac:dyDescent="0.3">
      <c r="A25" s="6">
        <v>20</v>
      </c>
      <c r="B25" s="6" t="s">
        <v>61</v>
      </c>
      <c r="C25" s="6" t="s">
        <v>62</v>
      </c>
      <c r="D25" s="7">
        <v>46261</v>
      </c>
      <c r="E25" s="8"/>
      <c r="F25" s="8" t="s">
        <v>63</v>
      </c>
      <c r="G25" s="9" t="str">
        <f t="shared" si="0"/>
        <v>Complete</v>
      </c>
      <c r="H25" s="9" t="str">
        <f t="shared" si="1"/>
        <v>OK</v>
      </c>
      <c r="I25" s="8"/>
    </row>
  </sheetData>
  <mergeCells count="2">
    <mergeCell ref="A1:I2"/>
    <mergeCell ref="A3:I3"/>
  </mergeCells>
  <conditionalFormatting sqref="G6:G25">
    <cfRule type="expression" dxfId="4" priority="2">
      <formula>G6="Complete"</formula>
    </cfRule>
    <cfRule type="expression" dxfId="3" priority="3">
      <formula>G6="Pending"</formula>
    </cfRule>
  </conditionalFormatting>
  <conditionalFormatting sqref="H6:H25">
    <cfRule type="expression" dxfId="2" priority="4">
      <formula>LEFT(H6,6)="Review"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&amp;CFictional portfolio demonstration data only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department" error="Select a department from the list or leave blank and use a cost allocation code." xr:uid="{00000000-0002-0000-0200-000000000000}">
          <x14:formula1>
            <xm:f>Lists!$A$2:$A$7</xm:f>
          </x14:formula1>
          <x14:formula2>
            <xm:f>0</xm:f>
          </x14:formula2>
          <xm:sqref>E6:E25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5"/>
  <sheetViews>
    <sheetView showGridLines="0" zoomScaleNormal="100" workbookViewId="0">
      <pane ySplit="5" topLeftCell="A6" activePane="bottomLeft" state="frozen"/>
      <selection pane="bottomLeft" sqref="A1:J2"/>
    </sheetView>
  </sheetViews>
  <sheetFormatPr defaultColWidth="8.77734375" defaultRowHeight="15" customHeight="1" x14ac:dyDescent="0.3"/>
  <cols>
    <col min="1" max="1" width="14" customWidth="1"/>
    <col min="2" max="3" width="16" customWidth="1"/>
    <col min="4" max="4" width="14" customWidth="1"/>
    <col min="5" max="5" width="22" customWidth="1"/>
    <col min="6" max="6" width="28" customWidth="1"/>
    <col min="7" max="7" width="16" customWidth="1"/>
    <col min="8" max="8" width="22" customWidth="1"/>
    <col min="9" max="9" width="24" customWidth="1"/>
    <col min="10" max="10" width="22" customWidth="1"/>
  </cols>
  <sheetData>
    <row r="1" spans="1:10" ht="15" customHeight="1" x14ac:dyDescent="0.3">
      <c r="A1" s="22" t="s">
        <v>76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31.5" customHeight="1" x14ac:dyDescent="0.3">
      <c r="A3" s="38" t="s">
        <v>77</v>
      </c>
      <c r="B3" s="38"/>
      <c r="C3" s="38"/>
      <c r="D3" s="38"/>
      <c r="E3" s="38"/>
      <c r="F3" s="38"/>
      <c r="G3" s="38"/>
      <c r="H3" s="38"/>
      <c r="I3" s="38"/>
      <c r="J3" s="38"/>
    </row>
    <row r="5" spans="1:10" ht="26.25" customHeight="1" x14ac:dyDescent="0.3">
      <c r="A5" s="10" t="s">
        <v>37</v>
      </c>
      <c r="B5" s="10" t="s">
        <v>78</v>
      </c>
      <c r="C5" s="10" t="s">
        <v>39</v>
      </c>
      <c r="D5" s="10" t="s">
        <v>38</v>
      </c>
      <c r="E5" s="10" t="s">
        <v>14</v>
      </c>
      <c r="F5" s="10" t="s">
        <v>79</v>
      </c>
      <c r="G5" s="10" t="s">
        <v>80</v>
      </c>
      <c r="H5" s="10" t="s">
        <v>40</v>
      </c>
      <c r="I5" s="10" t="s">
        <v>41</v>
      </c>
      <c r="J5" s="10" t="s">
        <v>81</v>
      </c>
    </row>
    <row r="6" spans="1:10" ht="15" customHeight="1" x14ac:dyDescent="0.3">
      <c r="A6" s="4">
        <f>'Admin Input'!A6</f>
        <v>1</v>
      </c>
      <c r="B6" s="9" t="str">
        <f t="shared" ref="B6:B25" si="0">"TX-"&amp;TEXT(A6,"000")</f>
        <v>TX-001</v>
      </c>
      <c r="C6" s="11">
        <f>'Admin Input'!D6</f>
        <v>46237</v>
      </c>
      <c r="D6" s="4" t="str">
        <f>'Admin Input'!B6</f>
        <v>P-001</v>
      </c>
      <c r="E6" s="4" t="str">
        <f>'Admin Input'!C6</f>
        <v>Avery Stone</v>
      </c>
      <c r="F6" s="9" t="str">
        <f t="shared" ref="F6:F25" si="1">"Shared transportation service"</f>
        <v>Shared transportation service</v>
      </c>
      <c r="G6" s="12">
        <v>42</v>
      </c>
      <c r="H6" s="4" t="str">
        <f>IF('Admin Input'!E6="","",'Admin Input'!E6)</f>
        <v>Operations</v>
      </c>
      <c r="I6" s="4" t="str">
        <f>IF('Admin Input'!F6="","",'Admin Input'!F6)</f>
        <v/>
      </c>
      <c r="J6" s="9" t="str">
        <f t="shared" ref="J6:J25" si="2">IF(OR(H6&lt;&gt;"",I6&lt;&gt;""),"Ready","Awaiting admin input")</f>
        <v>Ready</v>
      </c>
    </row>
    <row r="7" spans="1:10" ht="15" customHeight="1" x14ac:dyDescent="0.3">
      <c r="A7" s="4">
        <f>'Admin Input'!A7</f>
        <v>2</v>
      </c>
      <c r="B7" s="9" t="str">
        <f t="shared" si="0"/>
        <v>TX-002</v>
      </c>
      <c r="C7" s="11">
        <f>'Admin Input'!D7</f>
        <v>46251</v>
      </c>
      <c r="D7" s="4" t="str">
        <f>'Admin Input'!B7</f>
        <v>P-001</v>
      </c>
      <c r="E7" s="4" t="str">
        <f>'Admin Input'!C7</f>
        <v>Avery Stone</v>
      </c>
      <c r="F7" s="9" t="str">
        <f t="shared" si="1"/>
        <v>Shared transportation service</v>
      </c>
      <c r="G7" s="12">
        <v>58</v>
      </c>
      <c r="H7" s="4" t="str">
        <f>IF('Admin Input'!E7="","",'Admin Input'!E7)</f>
        <v>Operations</v>
      </c>
      <c r="I7" s="4" t="str">
        <f>IF('Admin Input'!F7="","",'Admin Input'!F7)</f>
        <v/>
      </c>
      <c r="J7" s="9" t="str">
        <f t="shared" si="2"/>
        <v>Ready</v>
      </c>
    </row>
    <row r="8" spans="1:10" ht="15" customHeight="1" x14ac:dyDescent="0.3">
      <c r="A8" s="4">
        <f>'Admin Input'!A8</f>
        <v>3</v>
      </c>
      <c r="B8" s="9" t="str">
        <f t="shared" si="0"/>
        <v>TX-003</v>
      </c>
      <c r="C8" s="11">
        <f>'Admin Input'!D8</f>
        <v>46238</v>
      </c>
      <c r="D8" s="4" t="str">
        <f>'Admin Input'!B8</f>
        <v>P-002</v>
      </c>
      <c r="E8" s="4" t="str">
        <f>'Admin Input'!C8</f>
        <v>Jordan Vale</v>
      </c>
      <c r="F8" s="9" t="str">
        <f t="shared" si="1"/>
        <v>Shared transportation service</v>
      </c>
      <c r="G8" s="12">
        <v>35</v>
      </c>
      <c r="H8" s="4" t="str">
        <f>IF('Admin Input'!E8="","",'Admin Input'!E8)</f>
        <v/>
      </c>
      <c r="I8" s="4" t="str">
        <f>IF('Admin Input'!F8="","",'Admin Input'!F8)</f>
        <v/>
      </c>
      <c r="J8" s="9" t="str">
        <f t="shared" si="2"/>
        <v>Awaiting admin input</v>
      </c>
    </row>
    <row r="9" spans="1:10" ht="15" customHeight="1" x14ac:dyDescent="0.3">
      <c r="A9" s="4">
        <f>'Admin Input'!A9</f>
        <v>4</v>
      </c>
      <c r="B9" s="9" t="str">
        <f t="shared" si="0"/>
        <v>TX-004</v>
      </c>
      <c r="C9" s="11">
        <f>'Admin Input'!D9</f>
        <v>46239</v>
      </c>
      <c r="D9" s="4" t="str">
        <f>'Admin Input'!B9</f>
        <v>P-003</v>
      </c>
      <c r="E9" s="4" t="str">
        <f>'Admin Input'!C9</f>
        <v>Casey Rowan</v>
      </c>
      <c r="F9" s="9" t="str">
        <f t="shared" si="1"/>
        <v>Shared transportation service</v>
      </c>
      <c r="G9" s="12">
        <v>74</v>
      </c>
      <c r="H9" s="4" t="str">
        <f>IF('Admin Input'!E9="","",'Admin Input'!E9)</f>
        <v/>
      </c>
      <c r="I9" s="4" t="str">
        <f>IF('Admin Input'!F9="","",'Admin Input'!F9)</f>
        <v>ALLOC-FIN-204</v>
      </c>
      <c r="J9" s="9" t="str">
        <f t="shared" si="2"/>
        <v>Ready</v>
      </c>
    </row>
    <row r="10" spans="1:10" ht="15" customHeight="1" x14ac:dyDescent="0.3">
      <c r="A10" s="4">
        <f>'Admin Input'!A10</f>
        <v>5</v>
      </c>
      <c r="B10" s="9" t="str">
        <f t="shared" si="0"/>
        <v>TX-005</v>
      </c>
      <c r="C10" s="11">
        <f>'Admin Input'!D10</f>
        <v>46240</v>
      </c>
      <c r="D10" s="4" t="str">
        <f>'Admin Input'!B10</f>
        <v>P-004</v>
      </c>
      <c r="E10" s="4" t="str">
        <f>'Admin Input'!C10</f>
        <v>Taylor Quinn</v>
      </c>
      <c r="F10" s="9" t="str">
        <f t="shared" si="1"/>
        <v>Shared transportation service</v>
      </c>
      <c r="G10" s="12">
        <v>46</v>
      </c>
      <c r="H10" s="4" t="str">
        <f>IF('Admin Input'!E10="","",'Admin Input'!E10)</f>
        <v/>
      </c>
      <c r="I10" s="4" t="str">
        <f>IF('Admin Input'!F10="","",'Admin Input'!F10)</f>
        <v>ALLOC-ENG-315</v>
      </c>
      <c r="J10" s="9" t="str">
        <f t="shared" si="2"/>
        <v>Ready</v>
      </c>
    </row>
    <row r="11" spans="1:10" ht="15" customHeight="1" x14ac:dyDescent="0.3">
      <c r="A11" s="4">
        <f>'Admin Input'!A11</f>
        <v>6</v>
      </c>
      <c r="B11" s="9" t="str">
        <f t="shared" si="0"/>
        <v>TX-006</v>
      </c>
      <c r="C11" s="11">
        <f>'Admin Input'!D11</f>
        <v>46254</v>
      </c>
      <c r="D11" s="4" t="str">
        <f>'Admin Input'!B11</f>
        <v>P-004</v>
      </c>
      <c r="E11" s="4" t="str">
        <f>'Admin Input'!C11</f>
        <v>Taylor Quinn</v>
      </c>
      <c r="F11" s="9" t="str">
        <f t="shared" si="1"/>
        <v>Shared transportation service</v>
      </c>
      <c r="G11" s="12">
        <v>52</v>
      </c>
      <c r="H11" s="4" t="str">
        <f>IF('Admin Input'!E11="","",'Admin Input'!E11)</f>
        <v/>
      </c>
      <c r="I11" s="4" t="str">
        <f>IF('Admin Input'!F11="","",'Admin Input'!F11)</f>
        <v>ALLOC-ENG-315</v>
      </c>
      <c r="J11" s="9" t="str">
        <f t="shared" si="2"/>
        <v>Ready</v>
      </c>
    </row>
    <row r="12" spans="1:10" ht="15" customHeight="1" x14ac:dyDescent="0.3">
      <c r="A12" s="4">
        <f>'Admin Input'!A12</f>
        <v>7</v>
      </c>
      <c r="B12" s="9" t="str">
        <f t="shared" si="0"/>
        <v>TX-007</v>
      </c>
      <c r="C12" s="11">
        <f>'Admin Input'!D12</f>
        <v>46241</v>
      </c>
      <c r="D12" s="4" t="str">
        <f>'Admin Input'!B12</f>
        <v>P-005</v>
      </c>
      <c r="E12" s="4" t="str">
        <f>'Admin Input'!C12</f>
        <v>Riley Chen</v>
      </c>
      <c r="F12" s="9" t="str">
        <f t="shared" si="1"/>
        <v>Shared transportation service</v>
      </c>
      <c r="G12" s="12">
        <v>39</v>
      </c>
      <c r="H12" s="4" t="str">
        <f>IF('Admin Input'!E12="","",'Admin Input'!E12)</f>
        <v>Product</v>
      </c>
      <c r="I12" s="4" t="str">
        <f>IF('Admin Input'!F12="","",'Admin Input'!F12)</f>
        <v/>
      </c>
      <c r="J12" s="9" t="str">
        <f t="shared" si="2"/>
        <v>Ready</v>
      </c>
    </row>
    <row r="13" spans="1:10" ht="15" customHeight="1" x14ac:dyDescent="0.3">
      <c r="A13" s="4">
        <f>'Admin Input'!A13</f>
        <v>8</v>
      </c>
      <c r="B13" s="9" t="str">
        <f t="shared" si="0"/>
        <v>TX-008</v>
      </c>
      <c r="C13" s="11">
        <f>'Admin Input'!D13</f>
        <v>46244</v>
      </c>
      <c r="D13" s="4" t="str">
        <f>'Admin Input'!B13</f>
        <v>P-006</v>
      </c>
      <c r="E13" s="4" t="str">
        <f>'Admin Input'!C13</f>
        <v>Marlowe Ellis</v>
      </c>
      <c r="F13" s="9" t="str">
        <f t="shared" si="1"/>
        <v>Shared transportation service</v>
      </c>
      <c r="G13" s="12">
        <v>63</v>
      </c>
      <c r="H13" s="4" t="str">
        <f>IF('Admin Input'!E13="","",'Admin Input'!E13)</f>
        <v/>
      </c>
      <c r="I13" s="4" t="str">
        <f>IF('Admin Input'!F13="","",'Admin Input'!F13)</f>
        <v/>
      </c>
      <c r="J13" s="9" t="str">
        <f t="shared" si="2"/>
        <v>Awaiting admin input</v>
      </c>
    </row>
    <row r="14" spans="1:10" ht="15" customHeight="1" x14ac:dyDescent="0.3">
      <c r="A14" s="4">
        <f>'Admin Input'!A14</f>
        <v>9</v>
      </c>
      <c r="B14" s="9" t="str">
        <f t="shared" si="0"/>
        <v>TX-009</v>
      </c>
      <c r="C14" s="11">
        <f>'Admin Input'!D14</f>
        <v>46258</v>
      </c>
      <c r="D14" s="4" t="str">
        <f>'Admin Input'!B14</f>
        <v>P-006</v>
      </c>
      <c r="E14" s="4" t="str">
        <f>'Admin Input'!C14</f>
        <v>Marlowe Ellis</v>
      </c>
      <c r="F14" s="9" t="str">
        <f t="shared" si="1"/>
        <v>Shared transportation service</v>
      </c>
      <c r="G14" s="12">
        <v>57</v>
      </c>
      <c r="H14" s="4" t="str">
        <f>IF('Admin Input'!E14="","",'Admin Input'!E14)</f>
        <v/>
      </c>
      <c r="I14" s="4" t="str">
        <f>IF('Admin Input'!F14="","",'Admin Input'!F14)</f>
        <v/>
      </c>
      <c r="J14" s="9" t="str">
        <f t="shared" si="2"/>
        <v>Awaiting admin input</v>
      </c>
    </row>
    <row r="15" spans="1:10" ht="15" customHeight="1" x14ac:dyDescent="0.3">
      <c r="A15" s="4">
        <f>'Admin Input'!A15</f>
        <v>10</v>
      </c>
      <c r="B15" s="9" t="str">
        <f t="shared" si="0"/>
        <v>TX-010</v>
      </c>
      <c r="C15" s="11">
        <f>'Admin Input'!D15</f>
        <v>46245</v>
      </c>
      <c r="D15" s="4" t="str">
        <f>'Admin Input'!B15</f>
        <v>P-007</v>
      </c>
      <c r="E15" s="4" t="str">
        <f>'Admin Input'!C15</f>
        <v>Parker Lane</v>
      </c>
      <c r="F15" s="9" t="str">
        <f t="shared" si="1"/>
        <v>Shared transportation service</v>
      </c>
      <c r="G15" s="12">
        <v>41</v>
      </c>
      <c r="H15" s="4" t="str">
        <f>IF('Admin Input'!E15="","",'Admin Input'!E15)</f>
        <v/>
      </c>
      <c r="I15" s="4" t="str">
        <f>IF('Admin Input'!F15="","",'Admin Input'!F15)</f>
        <v>ALLOC-RND-442</v>
      </c>
      <c r="J15" s="9" t="str">
        <f t="shared" si="2"/>
        <v>Ready</v>
      </c>
    </row>
    <row r="16" spans="1:10" ht="15" customHeight="1" x14ac:dyDescent="0.3">
      <c r="A16" s="4">
        <f>'Admin Input'!A16</f>
        <v>11</v>
      </c>
      <c r="B16" s="9" t="str">
        <f t="shared" si="0"/>
        <v>TX-011</v>
      </c>
      <c r="C16" s="11">
        <f>'Admin Input'!D16</f>
        <v>46246</v>
      </c>
      <c r="D16" s="4" t="str">
        <f>'Admin Input'!B16</f>
        <v>P-008</v>
      </c>
      <c r="E16" s="4" t="str">
        <f>'Admin Input'!C16</f>
        <v>Jamie Brooks</v>
      </c>
      <c r="F16" s="9" t="str">
        <f t="shared" si="1"/>
        <v>Shared transportation service</v>
      </c>
      <c r="G16" s="12">
        <v>68</v>
      </c>
      <c r="H16" s="4" t="str">
        <f>IF('Admin Input'!E16="","",'Admin Input'!E16)</f>
        <v>Engineering</v>
      </c>
      <c r="I16" s="4" t="str">
        <f>IF('Admin Input'!F16="","",'Admin Input'!F16)</f>
        <v/>
      </c>
      <c r="J16" s="9" t="str">
        <f t="shared" si="2"/>
        <v>Ready</v>
      </c>
    </row>
    <row r="17" spans="1:10" ht="15" customHeight="1" x14ac:dyDescent="0.3">
      <c r="A17" s="4">
        <f>'Admin Input'!A17</f>
        <v>12</v>
      </c>
      <c r="B17" s="9" t="str">
        <f t="shared" si="0"/>
        <v>TX-012</v>
      </c>
      <c r="C17" s="11">
        <f>'Admin Input'!D17</f>
        <v>46260</v>
      </c>
      <c r="D17" s="4" t="str">
        <f>'Admin Input'!B17</f>
        <v>P-008</v>
      </c>
      <c r="E17" s="4" t="str">
        <f>'Admin Input'!C17</f>
        <v>Jamie Brooks</v>
      </c>
      <c r="F17" s="9" t="str">
        <f t="shared" si="1"/>
        <v>Shared transportation service</v>
      </c>
      <c r="G17" s="12">
        <v>55</v>
      </c>
      <c r="H17" s="4" t="str">
        <f>IF('Admin Input'!E17="","",'Admin Input'!E17)</f>
        <v>Engineering</v>
      </c>
      <c r="I17" s="4" t="str">
        <f>IF('Admin Input'!F17="","",'Admin Input'!F17)</f>
        <v/>
      </c>
      <c r="J17" s="9" t="str">
        <f t="shared" si="2"/>
        <v>Ready</v>
      </c>
    </row>
    <row r="18" spans="1:10" ht="15" customHeight="1" x14ac:dyDescent="0.3">
      <c r="A18" s="4">
        <f>'Admin Input'!A18</f>
        <v>13</v>
      </c>
      <c r="B18" s="9" t="str">
        <f t="shared" si="0"/>
        <v>TX-013</v>
      </c>
      <c r="C18" s="11">
        <f>'Admin Input'!D18</f>
        <v>46247</v>
      </c>
      <c r="D18" s="4" t="str">
        <f>'Admin Input'!B18</f>
        <v>P-009</v>
      </c>
      <c r="E18" s="4" t="str">
        <f>'Admin Input'!C18</f>
        <v>Cameron Reed</v>
      </c>
      <c r="F18" s="9" t="str">
        <f t="shared" si="1"/>
        <v>Shared transportation service</v>
      </c>
      <c r="G18" s="12">
        <v>49</v>
      </c>
      <c r="H18" s="4" t="str">
        <f>IF('Admin Input'!E18="","",'Admin Input'!E18)</f>
        <v/>
      </c>
      <c r="I18" s="4" t="str">
        <f>IF('Admin Input'!F18="","",'Admin Input'!F18)</f>
        <v/>
      </c>
      <c r="J18" s="9" t="str">
        <f t="shared" si="2"/>
        <v>Awaiting admin input</v>
      </c>
    </row>
    <row r="19" spans="1:10" ht="15" customHeight="1" x14ac:dyDescent="0.3">
      <c r="A19" s="4">
        <f>'Admin Input'!A19</f>
        <v>14</v>
      </c>
      <c r="B19" s="9" t="str">
        <f t="shared" si="0"/>
        <v>TX-014</v>
      </c>
      <c r="C19" s="11">
        <f>'Admin Input'!D19</f>
        <v>46248</v>
      </c>
      <c r="D19" s="4" t="str">
        <f>'Admin Input'!B19</f>
        <v>P-010</v>
      </c>
      <c r="E19" s="4" t="str">
        <f>'Admin Input'!C19</f>
        <v>Drew Bennett</v>
      </c>
      <c r="F19" s="9" t="str">
        <f t="shared" si="1"/>
        <v>Shared transportation service</v>
      </c>
      <c r="G19" s="12">
        <v>72</v>
      </c>
      <c r="H19" s="4" t="str">
        <f>IF('Admin Input'!E19="","",'Admin Input'!E19)</f>
        <v/>
      </c>
      <c r="I19" s="4" t="str">
        <f>IF('Admin Input'!F19="","",'Admin Input'!F19)</f>
        <v>ALLOC-FIN-218</v>
      </c>
      <c r="J19" s="9" t="str">
        <f t="shared" si="2"/>
        <v>Ready</v>
      </c>
    </row>
    <row r="20" spans="1:10" ht="15" customHeight="1" x14ac:dyDescent="0.3">
      <c r="A20" s="4">
        <f>'Admin Input'!A20</f>
        <v>15</v>
      </c>
      <c r="B20" s="9" t="str">
        <f t="shared" si="0"/>
        <v>TX-015</v>
      </c>
      <c r="C20" s="11">
        <f>'Admin Input'!D20</f>
        <v>46262</v>
      </c>
      <c r="D20" s="4" t="str">
        <f>'Admin Input'!B20</f>
        <v>P-010</v>
      </c>
      <c r="E20" s="4" t="str">
        <f>'Admin Input'!C20</f>
        <v>Drew Bennett</v>
      </c>
      <c r="F20" s="9" t="str">
        <f t="shared" si="1"/>
        <v>Shared transportation service</v>
      </c>
      <c r="G20" s="12">
        <v>61</v>
      </c>
      <c r="H20" s="4" t="str">
        <f>IF('Admin Input'!E20="","",'Admin Input'!E20)</f>
        <v/>
      </c>
      <c r="I20" s="4" t="str">
        <f>IF('Admin Input'!F20="","",'Admin Input'!F20)</f>
        <v>ALLOC-FIN-218</v>
      </c>
      <c r="J20" s="9" t="str">
        <f t="shared" si="2"/>
        <v>Ready</v>
      </c>
    </row>
    <row r="21" spans="1:10" ht="15" customHeight="1" x14ac:dyDescent="0.3">
      <c r="A21" s="4">
        <f>'Admin Input'!A21</f>
        <v>16</v>
      </c>
      <c r="B21" s="9" t="str">
        <f t="shared" si="0"/>
        <v>TX-016</v>
      </c>
      <c r="C21" s="11">
        <f>'Admin Input'!D21</f>
        <v>46252</v>
      </c>
      <c r="D21" s="4" t="str">
        <f>'Admin Input'!B21</f>
        <v>P-011</v>
      </c>
      <c r="E21" s="4" t="str">
        <f>'Admin Input'!C21</f>
        <v>Skyler Hayes</v>
      </c>
      <c r="F21" s="9" t="str">
        <f t="shared" si="1"/>
        <v>Shared transportation service</v>
      </c>
      <c r="G21" s="12">
        <v>44</v>
      </c>
      <c r="H21" s="4" t="str">
        <f>IF('Admin Input'!E21="","",'Admin Input'!E21)</f>
        <v>Product</v>
      </c>
      <c r="I21" s="4" t="str">
        <f>IF('Admin Input'!F21="","",'Admin Input'!F21)</f>
        <v/>
      </c>
      <c r="J21" s="9" t="str">
        <f t="shared" si="2"/>
        <v>Ready</v>
      </c>
    </row>
    <row r="22" spans="1:10" ht="15" customHeight="1" x14ac:dyDescent="0.3">
      <c r="A22" s="4">
        <f>'Admin Input'!A22</f>
        <v>17</v>
      </c>
      <c r="B22" s="9" t="str">
        <f t="shared" si="0"/>
        <v>TX-017</v>
      </c>
      <c r="C22" s="11">
        <f>'Admin Input'!D22</f>
        <v>46253</v>
      </c>
      <c r="D22" s="4" t="str">
        <f>'Admin Input'!B22</f>
        <v>P-012</v>
      </c>
      <c r="E22" s="4" t="str">
        <f>'Admin Input'!C22</f>
        <v>Reese Nolan</v>
      </c>
      <c r="F22" s="9" t="str">
        <f t="shared" si="1"/>
        <v>Shared transportation service</v>
      </c>
      <c r="G22" s="12">
        <v>66</v>
      </c>
      <c r="H22" s="4" t="str">
        <f>IF('Admin Input'!E22="","",'Admin Input'!E22)</f>
        <v/>
      </c>
      <c r="I22" s="4" t="str">
        <f>IF('Admin Input'!F22="","",'Admin Input'!F22)</f>
        <v/>
      </c>
      <c r="J22" s="9" t="str">
        <f t="shared" si="2"/>
        <v>Awaiting admin input</v>
      </c>
    </row>
    <row r="23" spans="1:10" ht="15" customHeight="1" x14ac:dyDescent="0.3">
      <c r="A23" s="4">
        <f>'Admin Input'!A23</f>
        <v>18</v>
      </c>
      <c r="B23" s="9" t="str">
        <f t="shared" si="0"/>
        <v>TX-018</v>
      </c>
      <c r="C23" s="11">
        <f>'Admin Input'!D23</f>
        <v>46255</v>
      </c>
      <c r="D23" s="4" t="str">
        <f>'Admin Input'!B23</f>
        <v>P-012</v>
      </c>
      <c r="E23" s="4" t="str">
        <f>'Admin Input'!C23</f>
        <v>Reese Nolan</v>
      </c>
      <c r="F23" s="9" t="str">
        <f t="shared" si="1"/>
        <v>Shared transportation service</v>
      </c>
      <c r="G23" s="12">
        <v>53</v>
      </c>
      <c r="H23" s="4" t="str">
        <f>IF('Admin Input'!E23="","",'Admin Input'!E23)</f>
        <v/>
      </c>
      <c r="I23" s="4" t="str">
        <f>IF('Admin Input'!F23="","",'Admin Input'!F23)</f>
        <v/>
      </c>
      <c r="J23" s="9" t="str">
        <f t="shared" si="2"/>
        <v>Awaiting admin input</v>
      </c>
    </row>
    <row r="24" spans="1:10" ht="15" customHeight="1" x14ac:dyDescent="0.3">
      <c r="A24" s="4">
        <f>'Admin Input'!A24</f>
        <v>19</v>
      </c>
      <c r="B24" s="9" t="str">
        <f t="shared" si="0"/>
        <v>TX-019</v>
      </c>
      <c r="C24" s="11">
        <f>'Admin Input'!D24</f>
        <v>46259</v>
      </c>
      <c r="D24" s="4" t="str">
        <f>'Admin Input'!B24</f>
        <v>P-003</v>
      </c>
      <c r="E24" s="4" t="str">
        <f>'Admin Input'!C24</f>
        <v>Casey Rowan</v>
      </c>
      <c r="F24" s="9" t="str">
        <f t="shared" si="1"/>
        <v>Shared transportation service</v>
      </c>
      <c r="G24" s="12">
        <v>47</v>
      </c>
      <c r="H24" s="4" t="str">
        <f>IF('Admin Input'!E24="","",'Admin Input'!E24)</f>
        <v/>
      </c>
      <c r="I24" s="4" t="str">
        <f>IF('Admin Input'!F24="","",'Admin Input'!F24)</f>
        <v>ALLOC-FIN-204</v>
      </c>
      <c r="J24" s="9" t="str">
        <f t="shared" si="2"/>
        <v>Ready</v>
      </c>
    </row>
    <row r="25" spans="1:10" ht="15" customHeight="1" x14ac:dyDescent="0.3">
      <c r="A25" s="4">
        <f>'Admin Input'!A25</f>
        <v>20</v>
      </c>
      <c r="B25" s="9" t="str">
        <f t="shared" si="0"/>
        <v>TX-020</v>
      </c>
      <c r="C25" s="11">
        <f>'Admin Input'!D25</f>
        <v>46261</v>
      </c>
      <c r="D25" s="4" t="str">
        <f>'Admin Input'!B25</f>
        <v>P-007</v>
      </c>
      <c r="E25" s="4" t="str">
        <f>'Admin Input'!C25</f>
        <v>Parker Lane</v>
      </c>
      <c r="F25" s="9" t="str">
        <f t="shared" si="1"/>
        <v>Shared transportation service</v>
      </c>
      <c r="G25" s="12">
        <v>59</v>
      </c>
      <c r="H25" s="4" t="str">
        <f>IF('Admin Input'!E25="","",'Admin Input'!E25)</f>
        <v/>
      </c>
      <c r="I25" s="4" t="str">
        <f>IF('Admin Input'!F25="","",'Admin Input'!F25)</f>
        <v>ALLOC-RND-442</v>
      </c>
      <c r="J25" s="9" t="str">
        <f t="shared" si="2"/>
        <v>Ready</v>
      </c>
    </row>
  </sheetData>
  <mergeCells count="2">
    <mergeCell ref="A1:J2"/>
    <mergeCell ref="A3:J3"/>
  </mergeCells>
  <conditionalFormatting sqref="J6:J25">
    <cfRule type="expression" dxfId="1" priority="2">
      <formula>J6="Ready"</formula>
    </cfRule>
    <cfRule type="expression" dxfId="0" priority="3">
      <formula>J6="Awaiting admin input"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&amp;CFictional portfolio demonstration data only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7"/>
  <sheetViews>
    <sheetView showGridLines="0" zoomScaleNormal="100" workbookViewId="0">
      <pane ySplit="5" topLeftCell="A6" activePane="bottomLeft" state="frozen"/>
      <selection pane="bottomLeft" sqref="A1:G2"/>
    </sheetView>
  </sheetViews>
  <sheetFormatPr defaultColWidth="8.77734375" defaultRowHeight="15" customHeight="1" x14ac:dyDescent="0.3"/>
  <cols>
    <col min="1" max="1" width="14" customWidth="1"/>
    <col min="2" max="2" width="22" customWidth="1"/>
    <col min="3" max="3" width="34" customWidth="1"/>
    <col min="4" max="5" width="20" customWidth="1"/>
    <col min="6" max="6" width="12" customWidth="1"/>
    <col min="7" max="7" width="48" customWidth="1"/>
  </cols>
  <sheetData>
    <row r="1" spans="1:7" ht="15" customHeight="1" x14ac:dyDescent="0.3">
      <c r="A1" s="22" t="s">
        <v>82</v>
      </c>
      <c r="B1" s="22"/>
      <c r="C1" s="22"/>
      <c r="D1" s="22"/>
      <c r="E1" s="22"/>
      <c r="F1" s="22"/>
      <c r="G1" s="22"/>
    </row>
    <row r="2" spans="1:7" ht="15" customHeight="1" x14ac:dyDescent="0.3">
      <c r="A2" s="22"/>
      <c r="B2" s="22"/>
      <c r="C2" s="22"/>
      <c r="D2" s="22"/>
      <c r="E2" s="22"/>
      <c r="F2" s="22"/>
      <c r="G2" s="22"/>
    </row>
    <row r="3" spans="1:7" ht="15" customHeight="1" x14ac:dyDescent="0.3">
      <c r="A3" s="39" t="s">
        <v>83</v>
      </c>
      <c r="B3" s="39"/>
      <c r="C3" s="39"/>
      <c r="D3" s="39"/>
      <c r="E3" s="39"/>
      <c r="F3" s="39"/>
      <c r="G3" s="39"/>
    </row>
    <row r="5" spans="1:7" ht="15" customHeight="1" x14ac:dyDescent="0.3">
      <c r="A5" s="2" t="s">
        <v>38</v>
      </c>
      <c r="B5" s="2" t="s">
        <v>14</v>
      </c>
      <c r="C5" s="2" t="s">
        <v>15</v>
      </c>
      <c r="D5" s="2" t="s">
        <v>84</v>
      </c>
      <c r="E5" s="2" t="s">
        <v>85</v>
      </c>
      <c r="F5" s="2" t="s">
        <v>22</v>
      </c>
      <c r="G5" s="2" t="s">
        <v>44</v>
      </c>
    </row>
    <row r="6" spans="1:7" ht="15" customHeight="1" x14ac:dyDescent="0.3">
      <c r="A6" s="13" t="s">
        <v>45</v>
      </c>
      <c r="B6" s="13" t="s">
        <v>46</v>
      </c>
      <c r="C6" s="14" t="s">
        <v>86</v>
      </c>
      <c r="D6" s="14" t="s">
        <v>47</v>
      </c>
      <c r="E6" s="14" t="s">
        <v>87</v>
      </c>
      <c r="F6" s="14" t="s">
        <v>88</v>
      </c>
      <c r="G6" s="8"/>
    </row>
    <row r="7" spans="1:7" ht="26.25" customHeight="1" x14ac:dyDescent="0.3">
      <c r="A7" s="13" t="s">
        <v>48</v>
      </c>
      <c r="B7" s="13" t="s">
        <v>49</v>
      </c>
      <c r="C7" s="15"/>
      <c r="D7" s="14" t="s">
        <v>89</v>
      </c>
      <c r="E7" s="14" t="s">
        <v>90</v>
      </c>
      <c r="F7" s="14" t="s">
        <v>88</v>
      </c>
      <c r="G7" s="8" t="s">
        <v>91</v>
      </c>
    </row>
    <row r="8" spans="1:7" ht="15" customHeight="1" x14ac:dyDescent="0.3">
      <c r="A8" s="13" t="s">
        <v>50</v>
      </c>
      <c r="B8" s="13" t="s">
        <v>51</v>
      </c>
      <c r="C8" s="14" t="s">
        <v>92</v>
      </c>
      <c r="D8" s="14" t="s">
        <v>93</v>
      </c>
      <c r="E8" s="14" t="s">
        <v>94</v>
      </c>
      <c r="F8" s="14" t="s">
        <v>88</v>
      </c>
      <c r="G8" s="8"/>
    </row>
    <row r="9" spans="1:7" ht="15" customHeight="1" x14ac:dyDescent="0.3">
      <c r="A9" s="13" t="s">
        <v>53</v>
      </c>
      <c r="B9" s="13" t="s">
        <v>54</v>
      </c>
      <c r="C9" s="14" t="s">
        <v>95</v>
      </c>
      <c r="D9" s="14" t="s">
        <v>66</v>
      </c>
      <c r="E9" s="14" t="s">
        <v>96</v>
      </c>
      <c r="F9" s="14" t="s">
        <v>88</v>
      </c>
      <c r="G9" s="8"/>
    </row>
    <row r="10" spans="1:7" ht="15" customHeight="1" x14ac:dyDescent="0.3">
      <c r="A10" s="13" t="s">
        <v>56</v>
      </c>
      <c r="B10" s="13" t="s">
        <v>57</v>
      </c>
      <c r="C10" s="14" t="s">
        <v>97</v>
      </c>
      <c r="D10" s="14" t="s">
        <v>58</v>
      </c>
      <c r="E10" s="14" t="s">
        <v>94</v>
      </c>
      <c r="F10" s="14" t="s">
        <v>88</v>
      </c>
      <c r="G10" s="8"/>
    </row>
    <row r="11" spans="1:7" ht="15" customHeight="1" x14ac:dyDescent="0.3">
      <c r="A11" s="13" t="s">
        <v>59</v>
      </c>
      <c r="B11" s="13" t="s">
        <v>60</v>
      </c>
      <c r="C11" s="14" t="s">
        <v>98</v>
      </c>
      <c r="D11" s="14" t="s">
        <v>47</v>
      </c>
      <c r="E11" s="14" t="s">
        <v>87</v>
      </c>
      <c r="F11" s="14" t="s">
        <v>88</v>
      </c>
      <c r="G11" s="8"/>
    </row>
    <row r="12" spans="1:7" ht="15" customHeight="1" x14ac:dyDescent="0.3">
      <c r="A12" s="13" t="s">
        <v>61</v>
      </c>
      <c r="B12" s="13" t="s">
        <v>62</v>
      </c>
      <c r="C12" s="14" t="s">
        <v>99</v>
      </c>
      <c r="D12" s="14" t="s">
        <v>89</v>
      </c>
      <c r="E12" s="14" t="s">
        <v>90</v>
      </c>
      <c r="F12" s="14" t="s">
        <v>88</v>
      </c>
      <c r="G12" s="8"/>
    </row>
    <row r="13" spans="1:7" ht="15" customHeight="1" x14ac:dyDescent="0.3">
      <c r="A13" s="13" t="s">
        <v>64</v>
      </c>
      <c r="B13" s="13" t="s">
        <v>65</v>
      </c>
      <c r="C13" s="14" t="s">
        <v>100</v>
      </c>
      <c r="D13" s="14" t="s">
        <v>66</v>
      </c>
      <c r="E13" s="14" t="s">
        <v>96</v>
      </c>
      <c r="F13" s="14" t="s">
        <v>88</v>
      </c>
      <c r="G13" s="8"/>
    </row>
    <row r="14" spans="1:7" ht="15" customHeight="1" x14ac:dyDescent="0.3">
      <c r="A14" s="13" t="s">
        <v>67</v>
      </c>
      <c r="B14" s="13" t="s">
        <v>68</v>
      </c>
      <c r="C14" s="14" t="s">
        <v>101</v>
      </c>
      <c r="D14" s="14" t="s">
        <v>102</v>
      </c>
      <c r="E14" s="14" t="s">
        <v>94</v>
      </c>
      <c r="F14" s="14" t="s">
        <v>88</v>
      </c>
      <c r="G14" s="8"/>
    </row>
    <row r="15" spans="1:7" ht="15" customHeight="1" x14ac:dyDescent="0.3">
      <c r="A15" s="13" t="s">
        <v>69</v>
      </c>
      <c r="B15" s="13" t="s">
        <v>70</v>
      </c>
      <c r="C15" s="14" t="s">
        <v>103</v>
      </c>
      <c r="D15" s="14" t="s">
        <v>93</v>
      </c>
      <c r="E15" s="14" t="s">
        <v>94</v>
      </c>
      <c r="F15" s="14" t="s">
        <v>88</v>
      </c>
      <c r="G15" s="8"/>
    </row>
    <row r="16" spans="1:7" ht="15" customHeight="1" x14ac:dyDescent="0.3">
      <c r="A16" s="13" t="s">
        <v>72</v>
      </c>
      <c r="B16" s="13" t="s">
        <v>73</v>
      </c>
      <c r="C16" s="14" t="s">
        <v>104</v>
      </c>
      <c r="D16" s="14" t="s">
        <v>58</v>
      </c>
      <c r="E16" s="14" t="s">
        <v>87</v>
      </c>
      <c r="F16" s="14" t="s">
        <v>88</v>
      </c>
      <c r="G16" s="8"/>
    </row>
    <row r="17" spans="1:7" ht="15" customHeight="1" x14ac:dyDescent="0.3">
      <c r="A17" s="13" t="s">
        <v>74</v>
      </c>
      <c r="B17" s="13" t="s">
        <v>75</v>
      </c>
      <c r="C17" s="14" t="s">
        <v>105</v>
      </c>
      <c r="D17" s="14" t="s">
        <v>47</v>
      </c>
      <c r="E17" s="14" t="s">
        <v>96</v>
      </c>
      <c r="F17" s="14" t="s">
        <v>88</v>
      </c>
      <c r="G17" s="8"/>
    </row>
  </sheetData>
  <mergeCells count="2">
    <mergeCell ref="A1:G2"/>
    <mergeCell ref="A3:G3"/>
  </mergeCells>
  <pageMargins left="0.75" right="0.75" top="1" bottom="1" header="0.511811023622047" footer="0.5"/>
  <pageSetup fitToHeight="0" orientation="landscape" horizontalDpi="300" verticalDpi="300"/>
  <headerFooter>
    <oddFooter>&amp;CFictional portfolio demonstration data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showGridLines="0" zoomScaleNormal="100" workbookViewId="0"/>
  </sheetViews>
  <sheetFormatPr defaultColWidth="8.77734375" defaultRowHeight="15" customHeight="1" x14ac:dyDescent="0.3"/>
  <sheetData>
    <row r="1" spans="1:3" ht="15" customHeight="1" x14ac:dyDescent="0.3">
      <c r="A1" t="s">
        <v>106</v>
      </c>
      <c r="C1" t="s">
        <v>107</v>
      </c>
    </row>
    <row r="2" spans="1:3" ht="15" customHeight="1" x14ac:dyDescent="0.3">
      <c r="A2" t="s">
        <v>47</v>
      </c>
      <c r="C2" t="s">
        <v>88</v>
      </c>
    </row>
    <row r="3" spans="1:3" ht="15" customHeight="1" x14ac:dyDescent="0.3">
      <c r="A3" t="s">
        <v>93</v>
      </c>
      <c r="C3" t="s">
        <v>108</v>
      </c>
    </row>
    <row r="4" spans="1:3" ht="15" customHeight="1" x14ac:dyDescent="0.3">
      <c r="A4" t="s">
        <v>66</v>
      </c>
    </row>
    <row r="5" spans="1:3" ht="15" customHeight="1" x14ac:dyDescent="0.3">
      <c r="A5" t="s">
        <v>58</v>
      </c>
    </row>
    <row r="6" spans="1:3" ht="15" customHeight="1" x14ac:dyDescent="0.3">
      <c r="A6" t="s">
        <v>89</v>
      </c>
    </row>
    <row r="7" spans="1:3" ht="15" customHeight="1" x14ac:dyDescent="0.3">
      <c r="A7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- Read Me</vt:lpstr>
      <vt:lpstr>Admin Dashboard</vt:lpstr>
      <vt:lpstr>Admin Input</vt:lpstr>
      <vt:lpstr>Finance Monthly Output</vt:lpstr>
      <vt:lpstr>Master Contacts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Sunyoung Lim</cp:lastModifiedBy>
  <cp:revision/>
  <dcterms:created xsi:type="dcterms:W3CDTF">2026-09-26T23:52:58Z</dcterms:created>
  <dcterms:modified xsi:type="dcterms:W3CDTF">2026-10-18T22:53:27Z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2026-09-26T23:40:04Z</dcterms:created>
  <dc:creator>Portfolio Demonstration</dc:creator>
  <dc:description>Public portfolio workbook. All names, emails, departments, locations, identifiers, allocation codes, dates, and transaction records are fictional.</dc:description>
  <cp:keywords>portfolio Excel workflow preservation administrative automation fictional data</cp:keywords>
  <dc:language>en-US</dc:language>
  <cp:lastModifiedBy>Portfolio Demonstration</cp:lastModifiedBy>
  <dcterms:modified xsi:type="dcterms:W3CDTF">2026-09-26T23:49:17Z</dcterms:modified>
  <cp:revision>0</cp:revision>
  <dc:subject>Workflow-preserving Excel automation using fictional sample data</dc:subject>
  <dc:title>Monthly Transportation Charge Collection Automation — Fictional Portfolio Sample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9664e8-5bac-43dd-9fd7-fd5d06fe239a_Enabled">
    <vt:lpwstr>true</vt:lpwstr>
  </property>
  <property fmtid="{D5CDD505-2E9C-101B-9397-08002B2CF9AE}" pid="3" name="MSIP_Label_4b9664e8-5bac-43dd-9fd7-fd5d06fe239a_SetDate">
    <vt:lpwstr>2026-09-27T01:04:44Z</vt:lpwstr>
  </property>
  <property fmtid="{D5CDD505-2E9C-101B-9397-08002B2CF9AE}" pid="4" name="MSIP_Label_4b9664e8-5bac-43dd-9fd7-fd5d06fe239a_Method">
    <vt:lpwstr>Privileged</vt:lpwstr>
  </property>
  <property fmtid="{D5CDD505-2E9C-101B-9397-08002B2CF9AE}" pid="5" name="MSIP_Label_4b9664e8-5bac-43dd-9fd7-fd5d06fe239a_Name">
    <vt:lpwstr>Non-Corning</vt:lpwstr>
  </property>
  <property fmtid="{D5CDD505-2E9C-101B-9397-08002B2CF9AE}" pid="6" name="MSIP_Label_4b9664e8-5bac-43dd-9fd7-fd5d06fe239a_SiteId">
    <vt:lpwstr>b36a1e05-4a62-442b-83cf-dbdd6d7810e4</vt:lpwstr>
  </property>
  <property fmtid="{D5CDD505-2E9C-101B-9397-08002B2CF9AE}" pid="7" name="MSIP_Label_4b9664e8-5bac-43dd-9fd7-fd5d06fe239a_ActionId">
    <vt:lpwstr>e5bf569e-37db-4304-83db-d1704ec79860</vt:lpwstr>
  </property>
  <property fmtid="{D5CDD505-2E9C-101B-9397-08002B2CF9AE}" pid="8" name="MSIP_Label_4b9664e8-5bac-43dd-9fd7-fd5d06fe239a_ContentBits">
    <vt:lpwstr>0</vt:lpwstr>
  </property>
  <property fmtid="{D5CDD505-2E9C-101B-9397-08002B2CF9AE}" pid="9" name="MSIP_Label_4b9664e8-5bac-43dd-9fd7-fd5d06fe239a_Tag">
    <vt:lpwstr>10, 0, 1, 1</vt:lpwstr>
  </property>
</Properties>
</file>